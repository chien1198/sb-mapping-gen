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09"/>
  <workbookPr/>
  <mc:AlternateContent xmlns:mc="http://schemas.openxmlformats.org/markup-compatibility/2006">
    <mc:Choice Requires="x15">
      <x15ac:absPath xmlns:x15ac="http://schemas.microsoft.com/office/spreadsheetml/2010/11/ac" url="D:\work\IT\XÂY DATA MART\"/>
    </mc:Choice>
  </mc:AlternateContent>
  <xr:revisionPtr revIDLastSave="0" documentId="11_FCC8FD840605A231F238852EA4F55EDEA4B0C0B0" xr6:coauthVersionLast="47" xr6:coauthVersionMax="47" xr10:uidLastSave="{00000000-0000-0000-0000-000000000000}"/>
  <bookViews>
    <workbookView xWindow="0" yWindow="0" windowWidth="15360" windowHeight="5220" xr2:uid="{00000000-000D-0000-FFFF-FFFF00000000}"/>
  </bookViews>
  <sheets>
    <sheet name="cam kết SLA NLTT" sheetId="7" r:id="rId1"/>
    <sheet name="cam kết SLA TDKHDNL" sheetId="1" r:id="rId2"/>
    <sheet name="cam kết SLA TDKHDN luồng 2" sheetId="2" r:id="rId3"/>
    <sheet name="cam kết SLA TDKHDN luồng 1" sheetId="3" r:id="rId4"/>
    <sheet name="cam kết SLA TDKHCN" sheetId="5" r:id="rId5"/>
    <sheet name="Kết quả SLA" sheetId="4" r:id="rId6"/>
  </sheets>
  <definedNames>
    <definedName name="_xlnm._FilterDatabase" localSheetId="4" hidden="1">'cam kết SLA TDKHCN'!$A$2:$J$287</definedName>
    <definedName name="_xlnm._FilterDatabase" localSheetId="2" hidden="1">'cam kết SLA TDKHDN luồng 2'!#REF!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87" i="5" l="1"/>
  <c r="H287" i="5" s="1"/>
  <c r="F286" i="5"/>
  <c r="G286" i="5" s="1"/>
  <c r="F285" i="5"/>
  <c r="H285" i="5" s="1"/>
  <c r="F284" i="5"/>
  <c r="H284" i="5" s="1"/>
  <c r="F283" i="5"/>
  <c r="H283" i="5" s="1"/>
  <c r="F282" i="5"/>
  <c r="G282" i="5" s="1"/>
  <c r="F281" i="5"/>
  <c r="H281" i="5" s="1"/>
  <c r="F280" i="5"/>
  <c r="H280" i="5" s="1"/>
  <c r="F279" i="5"/>
  <c r="H279" i="5" s="1"/>
  <c r="F278" i="5"/>
  <c r="G278" i="5" s="1"/>
  <c r="F277" i="5"/>
  <c r="H277" i="5" s="1"/>
  <c r="F276" i="5"/>
  <c r="H276" i="5" s="1"/>
  <c r="F275" i="5"/>
  <c r="H275" i="5" s="1"/>
  <c r="F274" i="5"/>
  <c r="G274" i="5" s="1"/>
  <c r="H273" i="5"/>
  <c r="F273" i="5"/>
  <c r="G273" i="5" s="1"/>
  <c r="F272" i="5"/>
  <c r="H272" i="5" s="1"/>
  <c r="F271" i="5"/>
  <c r="H271" i="5" s="1"/>
  <c r="F270" i="5"/>
  <c r="G270" i="5" s="1"/>
  <c r="F269" i="5"/>
  <c r="H269" i="5" s="1"/>
  <c r="F268" i="5"/>
  <c r="H268" i="5" s="1"/>
  <c r="F267" i="5"/>
  <c r="H267" i="5" s="1"/>
  <c r="F266" i="5"/>
  <c r="G266" i="5" s="1"/>
  <c r="F265" i="5"/>
  <c r="H265" i="5" s="1"/>
  <c r="F264" i="5"/>
  <c r="H264" i="5" s="1"/>
  <c r="F263" i="5"/>
  <c r="H263" i="5" s="1"/>
  <c r="F262" i="5"/>
  <c r="G262" i="5" s="1"/>
  <c r="F261" i="5"/>
  <c r="H261" i="5" s="1"/>
  <c r="F260" i="5"/>
  <c r="H260" i="5" s="1"/>
  <c r="F259" i="5"/>
  <c r="H259" i="5" s="1"/>
  <c r="F258" i="5"/>
  <c r="G258" i="5" s="1"/>
  <c r="F257" i="5"/>
  <c r="H257" i="5" s="1"/>
  <c r="F256" i="5"/>
  <c r="H256" i="5" s="1"/>
  <c r="F255" i="5"/>
  <c r="H255" i="5" s="1"/>
  <c r="F254" i="5"/>
  <c r="G254" i="5" s="1"/>
  <c r="F253" i="5"/>
  <c r="H253" i="5" s="1"/>
  <c r="F252" i="5"/>
  <c r="H252" i="5" s="1"/>
  <c r="F251" i="5"/>
  <c r="H251" i="5" s="1"/>
  <c r="F250" i="5"/>
  <c r="G250" i="5" s="1"/>
  <c r="F249" i="5"/>
  <c r="H249" i="5" s="1"/>
  <c r="F248" i="5"/>
  <c r="H248" i="5" s="1"/>
  <c r="F247" i="5"/>
  <c r="H247" i="5" s="1"/>
  <c r="F246" i="5"/>
  <c r="G246" i="5" s="1"/>
  <c r="F245" i="5"/>
  <c r="G245" i="5" s="1"/>
  <c r="F244" i="5"/>
  <c r="H244" i="5" s="1"/>
  <c r="F243" i="5"/>
  <c r="H243" i="5" s="1"/>
  <c r="F242" i="5"/>
  <c r="G242" i="5" s="1"/>
  <c r="F241" i="5"/>
  <c r="H241" i="5" s="1"/>
  <c r="F240" i="5"/>
  <c r="H240" i="5" s="1"/>
  <c r="F239" i="5"/>
  <c r="H239" i="5" s="1"/>
  <c r="F238" i="5"/>
  <c r="G238" i="5" s="1"/>
  <c r="F237" i="5"/>
  <c r="H237" i="5" s="1"/>
  <c r="F236" i="5"/>
  <c r="H236" i="5" s="1"/>
  <c r="F235" i="5"/>
  <c r="H235" i="5" s="1"/>
  <c r="F234" i="5"/>
  <c r="G234" i="5" s="1"/>
  <c r="F233" i="5"/>
  <c r="H233" i="5" s="1"/>
  <c r="F232" i="5"/>
  <c r="H232" i="5" s="1"/>
  <c r="F231" i="5"/>
  <c r="H231" i="5" s="1"/>
  <c r="F230" i="5"/>
  <c r="G230" i="5" s="1"/>
  <c r="F229" i="5"/>
  <c r="H229" i="5" s="1"/>
  <c r="F228" i="5"/>
  <c r="H228" i="5" s="1"/>
  <c r="F227" i="5"/>
  <c r="H227" i="5" s="1"/>
  <c r="H226" i="5"/>
  <c r="G226" i="5"/>
  <c r="H225" i="5"/>
  <c r="G225" i="5"/>
  <c r="H224" i="5"/>
  <c r="G224" i="5"/>
  <c r="H223" i="5"/>
  <c r="G223" i="5"/>
  <c r="H222" i="5"/>
  <c r="G222" i="5"/>
  <c r="H221" i="5"/>
  <c r="G221" i="5"/>
  <c r="H220" i="5"/>
  <c r="G220" i="5"/>
  <c r="H219" i="5"/>
  <c r="G219" i="5"/>
  <c r="H218" i="5"/>
  <c r="G218" i="5"/>
  <c r="H217" i="5"/>
  <c r="G217" i="5"/>
  <c r="H216" i="5"/>
  <c r="G216" i="5"/>
  <c r="H215" i="5"/>
  <c r="G215" i="5"/>
  <c r="H214" i="5"/>
  <c r="G214" i="5"/>
  <c r="H213" i="5"/>
  <c r="G213" i="5"/>
  <c r="H212" i="5"/>
  <c r="G212" i="5"/>
  <c r="H211" i="5"/>
  <c r="G211" i="5"/>
  <c r="H210" i="5"/>
  <c r="G210" i="5"/>
  <c r="H209" i="5"/>
  <c r="G209" i="5"/>
  <c r="H208" i="5"/>
  <c r="G208" i="5"/>
  <c r="H207" i="5"/>
  <c r="G207" i="5"/>
  <c r="H206" i="5"/>
  <c r="G206" i="5"/>
  <c r="H205" i="5"/>
  <c r="G205" i="5"/>
  <c r="H204" i="5"/>
  <c r="G204" i="5"/>
  <c r="H203" i="5"/>
  <c r="G203" i="5"/>
  <c r="H202" i="5"/>
  <c r="G202" i="5"/>
  <c r="H201" i="5"/>
  <c r="G201" i="5"/>
  <c r="H200" i="5"/>
  <c r="G200" i="5"/>
  <c r="H199" i="5"/>
  <c r="G199" i="5"/>
  <c r="H198" i="5"/>
  <c r="G198" i="5"/>
  <c r="H197" i="5"/>
  <c r="G197" i="5"/>
  <c r="H196" i="5"/>
  <c r="G196" i="5"/>
  <c r="H195" i="5"/>
  <c r="G195" i="5"/>
  <c r="H194" i="5"/>
  <c r="G194" i="5"/>
  <c r="H193" i="5"/>
  <c r="G193" i="5"/>
  <c r="F175" i="5"/>
  <c r="H175" i="5" s="1"/>
  <c r="F176" i="5"/>
  <c r="H176" i="5" s="1"/>
  <c r="F177" i="5"/>
  <c r="H177" i="5" s="1"/>
  <c r="F178" i="5"/>
  <c r="G178" i="5" s="1"/>
  <c r="F179" i="5"/>
  <c r="G179" i="5" s="1"/>
  <c r="F180" i="5"/>
  <c r="H180" i="5" s="1"/>
  <c r="F181" i="5"/>
  <c r="H181" i="5" s="1"/>
  <c r="F182" i="5"/>
  <c r="G182" i="5" s="1"/>
  <c r="F183" i="5"/>
  <c r="F184" i="5"/>
  <c r="H184" i="5" s="1"/>
  <c r="F185" i="5"/>
  <c r="G185" i="5" s="1"/>
  <c r="F186" i="5"/>
  <c r="G186" i="5" s="1"/>
  <c r="F187" i="5"/>
  <c r="H187" i="5" s="1"/>
  <c r="F188" i="5"/>
  <c r="H188" i="5" s="1"/>
  <c r="F189" i="5"/>
  <c r="H189" i="5" s="1"/>
  <c r="F190" i="5"/>
  <c r="G190" i="5" s="1"/>
  <c r="F191" i="5"/>
  <c r="H191" i="5" s="1"/>
  <c r="F192" i="5"/>
  <c r="H192" i="5" s="1"/>
  <c r="F174" i="5"/>
  <c r="G174" i="5" s="1"/>
  <c r="H190" i="5"/>
  <c r="G187" i="5"/>
  <c r="H183" i="5"/>
  <c r="G183" i="5"/>
  <c r="H179" i="5"/>
  <c r="H174" i="5"/>
  <c r="F156" i="5"/>
  <c r="G156" i="5" s="1"/>
  <c r="F157" i="5"/>
  <c r="H157" i="5" s="1"/>
  <c r="F158" i="5"/>
  <c r="H158" i="5" s="1"/>
  <c r="F159" i="5"/>
  <c r="G159" i="5" s="1"/>
  <c r="F160" i="5"/>
  <c r="G160" i="5" s="1"/>
  <c r="F161" i="5"/>
  <c r="H161" i="5" s="1"/>
  <c r="F162" i="5"/>
  <c r="G162" i="5" s="1"/>
  <c r="F163" i="5"/>
  <c r="G163" i="5" s="1"/>
  <c r="F164" i="5"/>
  <c r="G164" i="5" s="1"/>
  <c r="F165" i="5"/>
  <c r="H165" i="5" s="1"/>
  <c r="F166" i="5"/>
  <c r="H166" i="5" s="1"/>
  <c r="F167" i="5"/>
  <c r="H167" i="5" s="1"/>
  <c r="F168" i="5"/>
  <c r="G168" i="5" s="1"/>
  <c r="F169" i="5"/>
  <c r="G169" i="5" s="1"/>
  <c r="F170" i="5"/>
  <c r="H170" i="5" s="1"/>
  <c r="F171" i="5"/>
  <c r="G171" i="5" s="1"/>
  <c r="F172" i="5"/>
  <c r="G172" i="5" s="1"/>
  <c r="F173" i="5"/>
  <c r="H173" i="5" s="1"/>
  <c r="F155" i="5"/>
  <c r="G155" i="5" s="1"/>
  <c r="H163" i="5"/>
  <c r="F132" i="5"/>
  <c r="G132" i="5" s="1"/>
  <c r="F133" i="5"/>
  <c r="H133" i="5" s="1"/>
  <c r="F134" i="5"/>
  <c r="H134" i="5" s="1"/>
  <c r="F135" i="5"/>
  <c r="H135" i="5" s="1"/>
  <c r="F136" i="5"/>
  <c r="H136" i="5" s="1"/>
  <c r="F137" i="5"/>
  <c r="H137" i="5" s="1"/>
  <c r="F138" i="5"/>
  <c r="H138" i="5" s="1"/>
  <c r="F139" i="5"/>
  <c r="H139" i="5" s="1"/>
  <c r="F140" i="5"/>
  <c r="H140" i="5" s="1"/>
  <c r="F141" i="5"/>
  <c r="G141" i="5" s="1"/>
  <c r="F142" i="5"/>
  <c r="H142" i="5" s="1"/>
  <c r="F143" i="5"/>
  <c r="H143" i="5" s="1"/>
  <c r="F144" i="5"/>
  <c r="G144" i="5" s="1"/>
  <c r="F145" i="5"/>
  <c r="H145" i="5" s="1"/>
  <c r="F146" i="5"/>
  <c r="H146" i="5" s="1"/>
  <c r="F147" i="5"/>
  <c r="H147" i="5" s="1"/>
  <c r="F148" i="5"/>
  <c r="H148" i="5" s="1"/>
  <c r="F149" i="5"/>
  <c r="H149" i="5" s="1"/>
  <c r="F150" i="5"/>
  <c r="H150" i="5" s="1"/>
  <c r="F151" i="5"/>
  <c r="H151" i="5" s="1"/>
  <c r="F152" i="5"/>
  <c r="H152" i="5" s="1"/>
  <c r="F153" i="5"/>
  <c r="G153" i="5" s="1"/>
  <c r="F154" i="5"/>
  <c r="H154" i="5" s="1"/>
  <c r="G147" i="5"/>
  <c r="G143" i="5"/>
  <c r="H131" i="5"/>
  <c r="G131" i="5"/>
  <c r="H130" i="5"/>
  <c r="G130" i="5"/>
  <c r="H129" i="5"/>
  <c r="G129" i="5"/>
  <c r="H128" i="5"/>
  <c r="G128" i="5"/>
  <c r="H127" i="5"/>
  <c r="G127" i="5"/>
  <c r="H126" i="5"/>
  <c r="G126" i="5"/>
  <c r="H125" i="5"/>
  <c r="G125" i="5"/>
  <c r="H124" i="5"/>
  <c r="G124" i="5"/>
  <c r="H123" i="5"/>
  <c r="G123" i="5"/>
  <c r="H122" i="5"/>
  <c r="G122" i="5"/>
  <c r="H121" i="5"/>
  <c r="G121" i="5"/>
  <c r="H120" i="5"/>
  <c r="G120" i="5"/>
  <c r="H119" i="5"/>
  <c r="G119" i="5"/>
  <c r="H118" i="5"/>
  <c r="G118" i="5"/>
  <c r="H117" i="5"/>
  <c r="G117" i="5"/>
  <c r="H116" i="5"/>
  <c r="G116" i="5"/>
  <c r="H115" i="5"/>
  <c r="G115" i="5"/>
  <c r="H114" i="5"/>
  <c r="G114" i="5"/>
  <c r="H113" i="5"/>
  <c r="G113" i="5"/>
  <c r="H112" i="5"/>
  <c r="G112" i="5"/>
  <c r="H111" i="5"/>
  <c r="G111" i="5"/>
  <c r="H110" i="5"/>
  <c r="G110" i="5"/>
  <c r="H109" i="5"/>
  <c r="G109" i="5"/>
  <c r="H108" i="5"/>
  <c r="G108" i="5"/>
  <c r="H107" i="5"/>
  <c r="G107" i="5"/>
  <c r="H106" i="5"/>
  <c r="G106" i="5"/>
  <c r="H105" i="5"/>
  <c r="G105" i="5"/>
  <c r="H104" i="5"/>
  <c r="G104" i="5"/>
  <c r="H103" i="5"/>
  <c r="G103" i="5"/>
  <c r="H102" i="5"/>
  <c r="G102" i="5"/>
  <c r="H101" i="5"/>
  <c r="G101" i="5"/>
  <c r="H100" i="5"/>
  <c r="G100" i="5"/>
  <c r="H99" i="5"/>
  <c r="G99" i="5"/>
  <c r="H98" i="5"/>
  <c r="G98" i="5"/>
  <c r="F80" i="5"/>
  <c r="H80" i="5" s="1"/>
  <c r="F81" i="5"/>
  <c r="G81" i="5" s="1"/>
  <c r="F82" i="5"/>
  <c r="G82" i="5" s="1"/>
  <c r="F83" i="5"/>
  <c r="G83" i="5" s="1"/>
  <c r="F84" i="5"/>
  <c r="G84" i="5" s="1"/>
  <c r="F85" i="5"/>
  <c r="G85" i="5" s="1"/>
  <c r="F86" i="5"/>
  <c r="H86" i="5" s="1"/>
  <c r="F87" i="5"/>
  <c r="G87" i="5" s="1"/>
  <c r="F88" i="5"/>
  <c r="H88" i="5" s="1"/>
  <c r="F89" i="5"/>
  <c r="G89" i="5" s="1"/>
  <c r="F90" i="5"/>
  <c r="H90" i="5" s="1"/>
  <c r="F91" i="5"/>
  <c r="G91" i="5" s="1"/>
  <c r="F92" i="5"/>
  <c r="H92" i="5" s="1"/>
  <c r="F93" i="5"/>
  <c r="G93" i="5" s="1"/>
  <c r="F94" i="5"/>
  <c r="H94" i="5" s="1"/>
  <c r="F95" i="5"/>
  <c r="G95" i="5" s="1"/>
  <c r="F96" i="5"/>
  <c r="H96" i="5" s="1"/>
  <c r="F97" i="5"/>
  <c r="G97" i="5" s="1"/>
  <c r="F79" i="5"/>
  <c r="H79" i="5" s="1"/>
  <c r="F61" i="5"/>
  <c r="G61" i="5" s="1"/>
  <c r="F62" i="5"/>
  <c r="H62" i="5" s="1"/>
  <c r="F63" i="5"/>
  <c r="H63" i="5" s="1"/>
  <c r="F64" i="5"/>
  <c r="G64" i="5" s="1"/>
  <c r="F65" i="5"/>
  <c r="G65" i="5" s="1"/>
  <c r="F66" i="5"/>
  <c r="G66" i="5" s="1"/>
  <c r="F67" i="5"/>
  <c r="H67" i="5" s="1"/>
  <c r="F68" i="5"/>
  <c r="G68" i="5" s="1"/>
  <c r="F69" i="5"/>
  <c r="H69" i="5" s="1"/>
  <c r="F70" i="5"/>
  <c r="H70" i="5" s="1"/>
  <c r="F71" i="5"/>
  <c r="H71" i="5" s="1"/>
  <c r="F72" i="5"/>
  <c r="G72" i="5" s="1"/>
  <c r="F73" i="5"/>
  <c r="H73" i="5" s="1"/>
  <c r="F74" i="5"/>
  <c r="G74" i="5" s="1"/>
  <c r="F75" i="5"/>
  <c r="H75" i="5" s="1"/>
  <c r="F76" i="5"/>
  <c r="G76" i="5" s="1"/>
  <c r="F77" i="5"/>
  <c r="H77" i="5" s="1"/>
  <c r="F78" i="5"/>
  <c r="H78" i="5" s="1"/>
  <c r="F60" i="5"/>
  <c r="H60" i="5" s="1"/>
  <c r="G63" i="5"/>
  <c r="F59" i="5"/>
  <c r="G59" i="5" s="1"/>
  <c r="F37" i="5"/>
  <c r="H37" i="5" s="1"/>
  <c r="F38" i="5"/>
  <c r="H38" i="5" s="1"/>
  <c r="F39" i="5"/>
  <c r="G39" i="5" s="1"/>
  <c r="F40" i="5"/>
  <c r="H40" i="5" s="1"/>
  <c r="F41" i="5"/>
  <c r="H41" i="5" s="1"/>
  <c r="F42" i="5"/>
  <c r="H42" i="5" s="1"/>
  <c r="F43" i="5"/>
  <c r="G43" i="5" s="1"/>
  <c r="F44" i="5"/>
  <c r="H44" i="5" s="1"/>
  <c r="F45" i="5"/>
  <c r="H45" i="5" s="1"/>
  <c r="F46" i="5"/>
  <c r="H46" i="5" s="1"/>
  <c r="F47" i="5"/>
  <c r="H47" i="5" s="1"/>
  <c r="F48" i="5"/>
  <c r="H48" i="5" s="1"/>
  <c r="F49" i="5"/>
  <c r="H49" i="5" s="1"/>
  <c r="F50" i="5"/>
  <c r="H50" i="5" s="1"/>
  <c r="F51" i="5"/>
  <c r="G51" i="5" s="1"/>
  <c r="F52" i="5"/>
  <c r="H52" i="5" s="1"/>
  <c r="F53" i="5"/>
  <c r="H53" i="5" s="1"/>
  <c r="F54" i="5"/>
  <c r="H54" i="5" s="1"/>
  <c r="F55" i="5"/>
  <c r="H55" i="5" s="1"/>
  <c r="F56" i="5"/>
  <c r="H56" i="5" s="1"/>
  <c r="F57" i="5"/>
  <c r="H57" i="5" s="1"/>
  <c r="F58" i="5"/>
  <c r="H58" i="5" s="1"/>
  <c r="H39" i="5"/>
  <c r="G36" i="5"/>
  <c r="H36" i="5"/>
  <c r="G35" i="5"/>
  <c r="H35" i="5"/>
  <c r="G32" i="5"/>
  <c r="H32" i="5"/>
  <c r="G33" i="5"/>
  <c r="H33" i="5"/>
  <c r="G34" i="5"/>
  <c r="H34" i="5"/>
  <c r="G31" i="5"/>
  <c r="H31" i="5"/>
  <c r="G25" i="5"/>
  <c r="H25" i="5"/>
  <c r="G26" i="5"/>
  <c r="H26" i="5"/>
  <c r="G27" i="5"/>
  <c r="H27" i="5"/>
  <c r="G28" i="5"/>
  <c r="H28" i="5"/>
  <c r="G29" i="5"/>
  <c r="H29" i="5"/>
  <c r="G30" i="5"/>
  <c r="H30" i="5"/>
  <c r="G24" i="5"/>
  <c r="H24" i="5"/>
  <c r="G21" i="5"/>
  <c r="H21" i="5"/>
  <c r="G22" i="5"/>
  <c r="H22" i="5"/>
  <c r="G23" i="5"/>
  <c r="H23" i="5"/>
  <c r="G20" i="5"/>
  <c r="H20" i="5"/>
  <c r="G18" i="5"/>
  <c r="H18" i="5"/>
  <c r="G19" i="5"/>
  <c r="H19" i="5"/>
  <c r="G17" i="5"/>
  <c r="H17" i="5"/>
  <c r="G16" i="5"/>
  <c r="H16" i="5"/>
  <c r="G15" i="5"/>
  <c r="H15" i="5"/>
  <c r="G14" i="5"/>
  <c r="H14" i="5"/>
  <c r="G13" i="5"/>
  <c r="H13" i="5"/>
  <c r="G12" i="5"/>
  <c r="H12" i="5"/>
  <c r="G4" i="5"/>
  <c r="H4" i="5"/>
  <c r="G5" i="5"/>
  <c r="H5" i="5"/>
  <c r="G6" i="5"/>
  <c r="H6" i="5"/>
  <c r="G7" i="5"/>
  <c r="H7" i="5"/>
  <c r="G8" i="5"/>
  <c r="H8" i="5"/>
  <c r="G9" i="5"/>
  <c r="H9" i="5"/>
  <c r="G10" i="5"/>
  <c r="H10" i="5"/>
  <c r="G11" i="5"/>
  <c r="H11" i="5"/>
  <c r="H3" i="5"/>
  <c r="G3" i="5"/>
  <c r="F3" i="2"/>
  <c r="G277" i="5" l="1"/>
  <c r="G92" i="5"/>
  <c r="G135" i="5"/>
  <c r="H185" i="5"/>
  <c r="G139" i="5"/>
  <c r="G181" i="5"/>
  <c r="H245" i="5"/>
  <c r="G67" i="5"/>
  <c r="G60" i="5"/>
  <c r="G71" i="5"/>
  <c r="H238" i="5"/>
  <c r="G241" i="5"/>
  <c r="H270" i="5"/>
  <c r="G75" i="5"/>
  <c r="H85" i="5"/>
  <c r="G142" i="5"/>
  <c r="H168" i="5"/>
  <c r="G180" i="5"/>
  <c r="G192" i="5"/>
  <c r="G229" i="5"/>
  <c r="H258" i="5"/>
  <c r="G261" i="5"/>
  <c r="G176" i="5"/>
  <c r="G184" i="5"/>
  <c r="G188" i="5"/>
  <c r="H254" i="5"/>
  <c r="G257" i="5"/>
  <c r="H286" i="5"/>
  <c r="H160" i="5"/>
  <c r="H242" i="5"/>
  <c r="H274" i="5"/>
  <c r="H43" i="5"/>
  <c r="G80" i="5"/>
  <c r="G96" i="5"/>
  <c r="H132" i="5"/>
  <c r="G148" i="5"/>
  <c r="H156" i="5"/>
  <c r="H164" i="5"/>
  <c r="G175" i="5"/>
  <c r="H178" i="5"/>
  <c r="G191" i="5"/>
  <c r="H234" i="5"/>
  <c r="G237" i="5"/>
  <c r="H250" i="5"/>
  <c r="G253" i="5"/>
  <c r="H266" i="5"/>
  <c r="G269" i="5"/>
  <c r="H282" i="5"/>
  <c r="G285" i="5"/>
  <c r="H171" i="5"/>
  <c r="G47" i="5"/>
  <c r="H84" i="5"/>
  <c r="H159" i="5"/>
  <c r="G167" i="5"/>
  <c r="H51" i="5"/>
  <c r="G136" i="5"/>
  <c r="H144" i="5"/>
  <c r="H83" i="5"/>
  <c r="G88" i="5"/>
  <c r="G158" i="5"/>
  <c r="H162" i="5"/>
  <c r="G166" i="5"/>
  <c r="G170" i="5"/>
  <c r="G177" i="5"/>
  <c r="G189" i="5"/>
  <c r="H230" i="5"/>
  <c r="G233" i="5"/>
  <c r="H246" i="5"/>
  <c r="G249" i="5"/>
  <c r="H262" i="5"/>
  <c r="G265" i="5"/>
  <c r="H278" i="5"/>
  <c r="G281" i="5"/>
  <c r="H68" i="5"/>
  <c r="G138" i="5"/>
  <c r="G150" i="5"/>
  <c r="H182" i="5"/>
  <c r="G134" i="5"/>
  <c r="G146" i="5"/>
  <c r="H155" i="5"/>
  <c r="G228" i="5"/>
  <c r="G232" i="5"/>
  <c r="G236" i="5"/>
  <c r="G240" i="5"/>
  <c r="G244" i="5"/>
  <c r="G248" i="5"/>
  <c r="G252" i="5"/>
  <c r="G256" i="5"/>
  <c r="G260" i="5"/>
  <c r="G264" i="5"/>
  <c r="G268" i="5"/>
  <c r="G272" i="5"/>
  <c r="G276" i="5"/>
  <c r="G280" i="5"/>
  <c r="G284" i="5"/>
  <c r="G227" i="5"/>
  <c r="G231" i="5"/>
  <c r="G235" i="5"/>
  <c r="G239" i="5"/>
  <c r="G243" i="5"/>
  <c r="G247" i="5"/>
  <c r="G251" i="5"/>
  <c r="G255" i="5"/>
  <c r="G259" i="5"/>
  <c r="G263" i="5"/>
  <c r="G267" i="5"/>
  <c r="G271" i="5"/>
  <c r="G275" i="5"/>
  <c r="G279" i="5"/>
  <c r="G283" i="5"/>
  <c r="G287" i="5"/>
  <c r="H186" i="5"/>
  <c r="H64" i="5"/>
  <c r="H72" i="5"/>
  <c r="H76" i="5"/>
  <c r="H141" i="5"/>
  <c r="G55" i="5"/>
  <c r="H61" i="5"/>
  <c r="G94" i="5"/>
  <c r="G140" i="5"/>
  <c r="G152" i="5"/>
  <c r="H91" i="5"/>
  <c r="H172" i="5"/>
  <c r="H82" i="5"/>
  <c r="G157" i="5"/>
  <c r="G161" i="5"/>
  <c r="G165" i="5"/>
  <c r="G173" i="5"/>
  <c r="H169" i="5"/>
  <c r="G137" i="5"/>
  <c r="H65" i="5"/>
  <c r="H81" i="5"/>
  <c r="H89" i="5"/>
  <c r="H93" i="5"/>
  <c r="G38" i="5"/>
  <c r="G42" i="5"/>
  <c r="G46" i="5"/>
  <c r="G50" i="5"/>
  <c r="G54" i="5"/>
  <c r="G58" i="5"/>
  <c r="G86" i="5"/>
  <c r="G133" i="5"/>
  <c r="G149" i="5"/>
  <c r="G151" i="5"/>
  <c r="H153" i="5"/>
  <c r="G79" i="5"/>
  <c r="G90" i="5"/>
  <c r="G145" i="5"/>
  <c r="G154" i="5"/>
  <c r="G77" i="5"/>
  <c r="G73" i="5"/>
  <c r="H87" i="5"/>
  <c r="H95" i="5"/>
  <c r="G69" i="5"/>
  <c r="H97" i="5"/>
  <c r="H66" i="5"/>
  <c r="G49" i="5"/>
  <c r="H59" i="5"/>
  <c r="G62" i="5"/>
  <c r="G70" i="5"/>
  <c r="G78" i="5"/>
  <c r="H74" i="5"/>
  <c r="G57" i="5"/>
  <c r="G41" i="5"/>
  <c r="G37" i="5"/>
  <c r="G45" i="5"/>
  <c r="G53" i="5"/>
  <c r="G40" i="5"/>
  <c r="G44" i="5"/>
  <c r="G48" i="5"/>
  <c r="G52" i="5"/>
  <c r="G56" i="5"/>
  <c r="G12" i="2" l="1"/>
  <c r="F12" i="2"/>
  <c r="G38" i="2"/>
  <c r="F38" i="2"/>
  <c r="G37" i="2"/>
  <c r="F37" i="2"/>
  <c r="G36" i="2"/>
  <c r="F36" i="2"/>
  <c r="G35" i="2"/>
  <c r="F35" i="2"/>
  <c r="G34" i="2"/>
  <c r="F34" i="2"/>
  <c r="G33" i="2"/>
  <c r="F33" i="2"/>
  <c r="G32" i="2"/>
  <c r="F32" i="2"/>
  <c r="G30" i="2"/>
  <c r="F30" i="2"/>
  <c r="G29" i="2"/>
  <c r="F29" i="2"/>
  <c r="G28" i="2"/>
  <c r="F28" i="2"/>
  <c r="G27" i="2"/>
  <c r="F27" i="2"/>
  <c r="G26" i="2"/>
  <c r="F26" i="2"/>
  <c r="G25" i="2"/>
  <c r="F25" i="2"/>
  <c r="G24" i="2"/>
  <c r="F24" i="2"/>
  <c r="G23" i="2"/>
  <c r="F23" i="2"/>
  <c r="G21" i="2"/>
  <c r="F21" i="2"/>
  <c r="G20" i="2"/>
  <c r="F20" i="2"/>
  <c r="G19" i="2"/>
  <c r="F19" i="2"/>
  <c r="G18" i="2"/>
  <c r="F18" i="2"/>
  <c r="G17" i="2"/>
  <c r="F17" i="2"/>
  <c r="G16" i="2"/>
  <c r="F16" i="2"/>
  <c r="G15" i="2"/>
  <c r="F15" i="2"/>
  <c r="G14" i="2"/>
  <c r="F14" i="2"/>
  <c r="G11" i="2"/>
  <c r="F11" i="2"/>
  <c r="G10" i="2"/>
  <c r="F10" i="2"/>
  <c r="G9" i="2"/>
  <c r="F9" i="2"/>
  <c r="G8" i="2"/>
  <c r="F8" i="2"/>
  <c r="G7" i="2"/>
  <c r="F7" i="2"/>
  <c r="G6" i="2"/>
  <c r="F6" i="2"/>
  <c r="G5" i="2"/>
  <c r="F5" i="2"/>
  <c r="G3" i="2"/>
  <c r="G38" i="1"/>
  <c r="F38" i="1"/>
  <c r="G37" i="1"/>
  <c r="F37" i="1"/>
  <c r="G36" i="1"/>
  <c r="F36" i="1"/>
  <c r="G35" i="1"/>
  <c r="F35" i="1"/>
  <c r="G34" i="1"/>
  <c r="F34" i="1"/>
  <c r="G33" i="1"/>
  <c r="F33" i="1"/>
  <c r="G32" i="1"/>
  <c r="F32" i="1"/>
  <c r="G31" i="1"/>
  <c r="F31" i="1"/>
  <c r="G30" i="1"/>
  <c r="F30" i="1"/>
  <c r="G20" i="1"/>
  <c r="F20" i="1"/>
  <c r="G19" i="1"/>
  <c r="F19" i="1"/>
  <c r="G18" i="1"/>
  <c r="F18" i="1"/>
  <c r="G17" i="1"/>
  <c r="F17" i="1"/>
  <c r="G16" i="1"/>
  <c r="F16" i="1"/>
  <c r="G15" i="1"/>
  <c r="F15" i="1"/>
  <c r="G14" i="1"/>
  <c r="F14" i="1"/>
  <c r="G13" i="1"/>
  <c r="F13" i="1"/>
  <c r="G12" i="1"/>
  <c r="F12" i="1"/>
  <c r="G7" i="1" l="1"/>
  <c r="F6" i="1"/>
  <c r="F4" i="1" l="1"/>
  <c r="G3" i="1" l="1"/>
  <c r="F3" i="1"/>
  <c r="F25" i="1" l="1"/>
  <c r="G8" i="1"/>
  <c r="F8" i="1"/>
  <c r="G22" i="1" l="1"/>
  <c r="G25" i="1" l="1"/>
  <c r="G26" i="1"/>
  <c r="F26" i="1"/>
  <c r="G29" i="1" l="1"/>
  <c r="F29" i="1"/>
  <c r="G24" i="1"/>
  <c r="F24" i="1"/>
  <c r="G21" i="1"/>
  <c r="F21" i="1"/>
  <c r="G27" i="1"/>
  <c r="F27" i="1"/>
  <c r="G28" i="1"/>
  <c r="F28" i="1"/>
  <c r="F22" i="1"/>
  <c r="G23" i="1"/>
  <c r="F23" i="1"/>
  <c r="G11" i="1"/>
  <c r="F11" i="1"/>
  <c r="G6" i="1"/>
  <c r="G9" i="1"/>
  <c r="F9" i="1"/>
  <c r="G10" i="1"/>
  <c r="F10" i="1"/>
  <c r="F7" i="1"/>
  <c r="G4" i="1"/>
  <c r="G5" i="1"/>
  <c r="F5" i="1"/>
</calcChain>
</file>

<file path=xl/sharedStrings.xml><?xml version="1.0" encoding="utf-8"?>
<sst xmlns="http://schemas.openxmlformats.org/spreadsheetml/2006/main" count="1387" uniqueCount="127">
  <si>
    <t>REF_PRODUCT</t>
  </si>
  <si>
    <t>Hiển thị trên LOS</t>
  </si>
  <si>
    <t>SLA_DE_RESULT (giờ)</t>
  </si>
  <si>
    <t>SLA_QC_RESULT (giờ)</t>
  </si>
  <si>
    <t>SLA_DE_TOTAL_RESULT(giờ)</t>
  </si>
  <si>
    <t>QD_DDE</t>
  </si>
  <si>
    <t>QD_QC</t>
  </si>
  <si>
    <t>GHI CHÚ</t>
  </si>
  <si>
    <t>Product Line</t>
  </si>
  <si>
    <t>Sub Product</t>
  </si>
  <si>
    <t>New/Change Request</t>
  </si>
  <si>
    <t>RLOS</t>
  </si>
  <si>
    <t>Sửa thông tin 2 cột QD_DDE và QD_QC của tất cả sản phẩm</t>
  </si>
  <si>
    <t>Unsecured_CreditCard</t>
  </si>
  <si>
    <t>SeAHome-TTD</t>
  </si>
  <si>
    <t>Bỏ do luồng Change Request - RLOS không có bước NLTT nên không cần rule theo trường này</t>
  </si>
  <si>
    <t>Bỏ policy, chỉ còn rule theo Product Line là SeAHome-TTD</t>
  </si>
  <si>
    <t>Unsecured-loan</t>
  </si>
  <si>
    <t>SeAHome-Buy</t>
  </si>
  <si>
    <t>SeABuyHuutri</t>
  </si>
  <si>
    <t>SeAHome-Fast</t>
  </si>
  <si>
    <t>SeAFast_KTSBD_KD</t>
  </si>
  <si>
    <t>SeACivil</t>
  </si>
  <si>
    <t>SeAHome-Woman</t>
  </si>
  <si>
    <t>SeAHome-Teacher</t>
  </si>
  <si>
    <t>SeAHome-Study</t>
  </si>
  <si>
    <t>SeAValue</t>
  </si>
  <si>
    <t>SeAHome-Value</t>
  </si>
  <si>
    <t>SeACar</t>
  </si>
  <si>
    <t>SeaHome-otoxin</t>
  </si>
  <si>
    <t>SeACarPro</t>
  </si>
  <si>
    <t>SeAHome-otoPro</t>
  </si>
  <si>
    <t>SeAHome</t>
  </si>
  <si>
    <t>SeALand</t>
  </si>
  <si>
    <t>SeAHome-Land</t>
  </si>
  <si>
    <t>SeAPro</t>
  </si>
  <si>
    <t>SeAHome-Pro</t>
  </si>
  <si>
    <t>SeAProSieulinhhoat</t>
  </si>
  <si>
    <t>SeAProMSME</t>
  </si>
  <si>
    <t>Secured-loanKD</t>
  </si>
  <si>
    <t>SeACafehotieu</t>
  </si>
  <si>
    <t>SeAMarket</t>
  </si>
  <si>
    <t>SeANuoitom</t>
  </si>
  <si>
    <t>SeATronglua</t>
  </si>
  <si>
    <t>Secured-loan</t>
  </si>
  <si>
    <t>SeAHome-More</t>
  </si>
  <si>
    <t>SeAFlex</t>
  </si>
  <si>
    <t>SeAHome-FastTSDB</t>
  </si>
  <si>
    <t>SeAHome-FastTSDB-KD</t>
  </si>
  <si>
    <t>SeACard_TSBD</t>
  </si>
  <si>
    <t>SeATaitaitro</t>
  </si>
  <si>
    <t>SeAHome-StudyTSDB</t>
  </si>
  <si>
    <t>CLOS</t>
  </si>
  <si>
    <t>Hạn mức STK, Cấp tín dụng món STK</t>
  </si>
  <si>
    <t>Hạn mức</t>
  </si>
  <si>
    <t>Hạn mức Vay cầm cố GTCG</t>
  </si>
  <si>
    <t>New</t>
  </si>
  <si>
    <t>Cấp tín dụng ngắn hạn</t>
  </si>
  <si>
    <t>Vay cầm cố GTCG theo món</t>
  </si>
  <si>
    <t>SeACar Business</t>
  </si>
  <si>
    <t>SeaCar Business</t>
  </si>
  <si>
    <t>Tái cấp hạn mức</t>
  </si>
  <si>
    <t>Tái cấp Hạn mức</t>
  </si>
  <si>
    <t>Đầu tư tài sản cố định</t>
  </si>
  <si>
    <t>Đầu tư dự án</t>
  </si>
  <si>
    <t>Change Request</t>
  </si>
  <si>
    <t>SLA_CREDIT_OFFICER</t>
  </si>
  <si>
    <t>SLA_MARKER</t>
  </si>
  <si>
    <t>SLA_CHECKER</t>
  </si>
  <si>
    <t>SLA_CREDIT_APPROVER</t>
  </si>
  <si>
    <t>FLAG (APP_GRP)</t>
  </si>
  <si>
    <t>NOTE</t>
  </si>
  <si>
    <t>Have any deviation</t>
  </si>
  <si>
    <t>Cấp tín dụng món ngắn hạn STK</t>
  </si>
  <si>
    <t>Không</t>
  </si>
  <si>
    <t>CGPD</t>
  </si>
  <si>
    <t>CGPD cấp B + A</t>
  </si>
  <si>
    <t>Hạn mức STK</t>
  </si>
  <si>
    <t>Phương án thay đổi điều kiện phê duyệt</t>
  </si>
  <si>
    <t>Trường Change Request</t>
  </si>
  <si>
    <t>Có</t>
  </si>
  <si>
    <t>HDTD</t>
  </si>
  <si>
    <t>BOD/ CC/ SCC/ RCC</t>
  </si>
  <si>
    <t>APP_GRP</t>
  </si>
  <si>
    <t>C1</t>
  </si>
  <si>
    <t>Giá trị REF_PRODUCT: Giống như danh sách tại sheet cam kết SLA TDKHDN luồng 2</t>
  </si>
  <si>
    <t>Change Type</t>
  </si>
  <si>
    <t>DEVIATION_G3</t>
  </si>
  <si>
    <t>SECONDARY_PRODUCTLINE</t>
  </si>
  <si>
    <t>CGPD cấp B,C (B1, B2, C1, C2, C3)</t>
  </si>
  <si>
    <t>NO</t>
  </si>
  <si>
    <t>Gia hạn TTD tín chấp</t>
  </si>
  <si>
    <t>Thay đổi/gia hạn phê duyệt thế chấp</t>
  </si>
  <si>
    <t>Thay đổi/gia hạn phê duyệt tín chấp</t>
  </si>
  <si>
    <t>Thay đổi/xuất mượn TSBĐ</t>
  </si>
  <si>
    <t>Phương án cơ cấu nợ</t>
  </si>
  <si>
    <t>Cơ cấu nợ thế chấp</t>
  </si>
  <si>
    <t>Cơ cấu nợ tín chấp</t>
  </si>
  <si>
    <t>YES</t>
  </si>
  <si>
    <t>CGPD cấp A (A1, A2)</t>
  </si>
  <si>
    <t>So sánh</t>
  </si>
  <si>
    <t>SLA_DE_RESULT</t>
  </si>
  <si>
    <t>STEP02_DDE_TAT_CPC &gt; SLA_DE</t>
  </si>
  <si>
    <t>KHONG DAT</t>
  </si>
  <si>
    <r>
      <t xml:space="preserve">STEP02_DDE_TAT_CPC </t>
    </r>
    <r>
      <rPr>
        <sz val="11"/>
        <rFont val="Calibri"/>
        <family val="2"/>
      </rPr>
      <t>≤</t>
    </r>
    <r>
      <rPr>
        <sz val="11"/>
        <rFont val="Calibri"/>
        <family val="2"/>
        <scheme val="minor"/>
      </rPr>
      <t xml:space="preserve"> SLA_DE</t>
    </r>
  </si>
  <si>
    <t>DAT</t>
  </si>
  <si>
    <t>SLA_QC_RESULT</t>
  </si>
  <si>
    <t>STEP03_QUALITY_CHECKER_TAT_CPC &gt; SLA_QC</t>
  </si>
  <si>
    <r>
      <t xml:space="preserve">STEP03_QUALITY_CHECKER_TAT_CPC </t>
    </r>
    <r>
      <rPr>
        <sz val="11"/>
        <rFont val="Calibri"/>
        <family val="2"/>
      </rPr>
      <t>≤</t>
    </r>
    <r>
      <rPr>
        <sz val="11"/>
        <rFont val="Calibri"/>
        <family val="2"/>
        <scheme val="minor"/>
      </rPr>
      <t xml:space="preserve"> SLA_QC</t>
    </r>
  </si>
  <si>
    <t>SLA_DE_TOTAL_RESULT</t>
  </si>
  <si>
    <t>(STEP02_DDE_TAT_CPC + STEP03_QUALITY_CHECKER_TAT_CPC) &gt; (SLA_DE + SLA_QC)</t>
  </si>
  <si>
    <t>(STEP02_DDE_TAT_CPC + STEP03_QUALITY_CHECKER_TAT_CPC) ≤ (SLA_DE + SLA_QC)</t>
  </si>
  <si>
    <t>SLA_MARKER_RESUTL</t>
  </si>
  <si>
    <t>STEP04_UNDMAKER_TAT_CPC &gt; SLA_MARKER</t>
  </si>
  <si>
    <r>
      <t xml:space="preserve">STEP04_UNDMAKER_TAT_CPC </t>
    </r>
    <r>
      <rPr>
        <sz val="11"/>
        <rFont val="Calibri"/>
        <family val="2"/>
      </rPr>
      <t>≤</t>
    </r>
    <r>
      <rPr>
        <sz val="11"/>
        <rFont val="Calibri"/>
        <family val="2"/>
        <scheme val="minor"/>
      </rPr>
      <t xml:space="preserve"> SLA_MARKER</t>
    </r>
  </si>
  <si>
    <t>SLA_CHECKER_RESUTL</t>
  </si>
  <si>
    <t>STEP04_UNDCHECKER_TAT_CPC &gt; SLA_CHECKER</t>
  </si>
  <si>
    <r>
      <t xml:space="preserve">STEP04_UNDCHECKER_TAT_CPC </t>
    </r>
    <r>
      <rPr>
        <sz val="11"/>
        <rFont val="Calibri"/>
        <family val="2"/>
      </rPr>
      <t>≤</t>
    </r>
    <r>
      <rPr>
        <sz val="11"/>
        <rFont val="Calibri"/>
        <family val="2"/>
        <scheme val="minor"/>
      </rPr>
      <t xml:space="preserve"> SLA_CHECKER</t>
    </r>
  </si>
  <si>
    <t>SLA_CO_RESUTL</t>
  </si>
  <si>
    <t>STEP04_UND_TAT_CPC &gt; SLA_CREDIT_OFFICER</t>
  </si>
  <si>
    <r>
      <t xml:space="preserve">STEP04_UND_TAT_CPC </t>
    </r>
    <r>
      <rPr>
        <sz val="11"/>
        <rFont val="Calibri"/>
        <family val="2"/>
      </rPr>
      <t>≤</t>
    </r>
    <r>
      <rPr>
        <sz val="11"/>
        <rFont val="Calibri"/>
        <family val="2"/>
        <scheme val="minor"/>
      </rPr>
      <t xml:space="preserve"> SLA_CREDIT_OFFICER</t>
    </r>
  </si>
  <si>
    <t>SLA_APPROVER_RESULT</t>
  </si>
  <si>
    <t>STEP07_APPROVER_TAT_CPC &gt; SLA_CREDIT_APPROVER</t>
  </si>
  <si>
    <r>
      <t xml:space="preserve">STEP07_APPROVER_TAT_CPC </t>
    </r>
    <r>
      <rPr>
        <sz val="11"/>
        <rFont val="Calibri"/>
        <family val="2"/>
      </rPr>
      <t>≤</t>
    </r>
    <r>
      <rPr>
        <sz val="11"/>
        <rFont val="Calibri"/>
        <family val="2"/>
        <scheme val="minor"/>
      </rPr>
      <t xml:space="preserve"> SLA_CREDIT_APPROVER</t>
    </r>
  </si>
  <si>
    <t>SLA_CO_APPROVER_RESULT</t>
  </si>
  <si>
    <t>(STEP04_UND_TAT_CPC + STEP07_APPROVER_TAT_CPC) &gt; (SLA_CREDIT_OFFICER + SLA_CREDIT_APPROVER)</t>
  </si>
  <si>
    <t>(STEP04_UND_TAT_CPC + STEP07_APPROVER_TAT_CPC) ≤ (SLA_CREDIT_OFFICER + SLA_CREDIT_APPROVER)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</si>
</sst>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9"/>
      <color theme="1"/>
      <name val="Segoe UI"/>
      <family val="2"/>
      <charset val="1"/>
    </font>
    <font>
      <sz val="1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b/>
      <sz val="9"/>
      <color rgb="FFFF0000"/>
      <name val="Segoe U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190">
    <xf numFmtId="0" fontId="0" fillId="0" borderId="0" xfId="0"/>
    <xf numFmtId="0" fontId="2" fillId="2" borderId="1" xfId="0" applyFont="1" applyFill="1" applyBorder="1"/>
    <xf numFmtId="2" fontId="2" fillId="2" borderId="1" xfId="0" applyNumberFormat="1" applyFont="1" applyFill="1" applyBorder="1" applyAlignment="1">
      <alignment horizontal="right"/>
    </xf>
    <xf numFmtId="0" fontId="2" fillId="3" borderId="1" xfId="0" applyFont="1" applyFill="1" applyBorder="1"/>
    <xf numFmtId="2" fontId="2" fillId="3" borderId="1" xfId="0" applyNumberFormat="1" applyFont="1" applyFill="1" applyBorder="1" applyAlignment="1">
      <alignment horizontal="right"/>
    </xf>
    <xf numFmtId="0" fontId="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2" fontId="2" fillId="2" borderId="1" xfId="0" applyNumberFormat="1" applyFont="1" applyFill="1" applyBorder="1" applyAlignment="1">
      <alignment horizontal="left"/>
    </xf>
    <xf numFmtId="0" fontId="1" fillId="4" borderId="4" xfId="0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left" wrapText="1"/>
    </xf>
    <xf numFmtId="0" fontId="0" fillId="0" borderId="0" xfId="0" applyAlignment="1">
      <alignment wrapText="1"/>
    </xf>
    <xf numFmtId="2" fontId="2" fillId="3" borderId="1" xfId="0" applyNumberFormat="1" applyFont="1" applyFill="1" applyBorder="1" applyAlignment="1">
      <alignment horizontal="left"/>
    </xf>
    <xf numFmtId="2" fontId="2" fillId="3" borderId="1" xfId="0" applyNumberFormat="1" applyFont="1" applyFill="1" applyBorder="1" applyAlignment="1">
      <alignment horizontal="left" wrapText="1"/>
    </xf>
    <xf numFmtId="2" fontId="2" fillId="2" borderId="5" xfId="0" applyNumberFormat="1" applyFont="1" applyFill="1" applyBorder="1" applyAlignment="1">
      <alignment horizontal="left"/>
    </xf>
    <xf numFmtId="2" fontId="2" fillId="2" borderId="6" xfId="0" applyNumberFormat="1" applyFont="1" applyFill="1" applyBorder="1" applyAlignment="1">
      <alignment horizontal="left"/>
    </xf>
    <xf numFmtId="2" fontId="2" fillId="2" borderId="6" xfId="0" applyNumberFormat="1" applyFont="1" applyFill="1" applyBorder="1" applyAlignment="1">
      <alignment horizontal="left" wrapText="1"/>
    </xf>
    <xf numFmtId="2" fontId="2" fillId="2" borderId="6" xfId="0" applyNumberFormat="1" applyFont="1" applyFill="1" applyBorder="1" applyAlignment="1">
      <alignment horizontal="right"/>
    </xf>
    <xf numFmtId="2" fontId="2" fillId="2" borderId="12" xfId="0" applyNumberFormat="1" applyFont="1" applyFill="1" applyBorder="1" applyAlignment="1">
      <alignment horizontal="left"/>
    </xf>
    <xf numFmtId="2" fontId="2" fillId="2" borderId="15" xfId="0" applyNumberFormat="1" applyFont="1" applyFill="1" applyBorder="1" applyAlignment="1">
      <alignment horizontal="left" wrapText="1"/>
    </xf>
    <xf numFmtId="2" fontId="2" fillId="2" borderId="15" xfId="0" applyNumberFormat="1" applyFont="1" applyFill="1" applyBorder="1" applyAlignment="1">
      <alignment horizontal="left"/>
    </xf>
    <xf numFmtId="2" fontId="2" fillId="2" borderId="15" xfId="0" applyNumberFormat="1" applyFont="1" applyFill="1" applyBorder="1" applyAlignment="1">
      <alignment horizontal="right"/>
    </xf>
    <xf numFmtId="2" fontId="2" fillId="3" borderId="5" xfId="0" applyNumberFormat="1" applyFont="1" applyFill="1" applyBorder="1" applyAlignment="1">
      <alignment horizontal="left"/>
    </xf>
    <xf numFmtId="2" fontId="2" fillId="3" borderId="6" xfId="0" applyNumberFormat="1" applyFont="1" applyFill="1" applyBorder="1" applyAlignment="1">
      <alignment horizontal="left"/>
    </xf>
    <xf numFmtId="2" fontId="2" fillId="3" borderId="6" xfId="0" applyNumberFormat="1" applyFont="1" applyFill="1" applyBorder="1" applyAlignment="1">
      <alignment horizontal="left" wrapText="1"/>
    </xf>
    <xf numFmtId="2" fontId="2" fillId="3" borderId="6" xfId="0" applyNumberFormat="1" applyFont="1" applyFill="1" applyBorder="1" applyAlignment="1">
      <alignment horizontal="right"/>
    </xf>
    <xf numFmtId="2" fontId="2" fillId="3" borderId="12" xfId="0" applyNumberFormat="1" applyFont="1" applyFill="1" applyBorder="1" applyAlignment="1">
      <alignment horizontal="left"/>
    </xf>
    <xf numFmtId="2" fontId="2" fillId="3" borderId="15" xfId="0" applyNumberFormat="1" applyFont="1" applyFill="1" applyBorder="1" applyAlignment="1">
      <alignment horizontal="left" wrapText="1"/>
    </xf>
    <xf numFmtId="2" fontId="2" fillId="3" borderId="15" xfId="0" applyNumberFormat="1" applyFont="1" applyFill="1" applyBorder="1" applyAlignment="1">
      <alignment horizontal="left"/>
    </xf>
    <xf numFmtId="2" fontId="2" fillId="3" borderId="15" xfId="0" applyNumberFormat="1" applyFont="1" applyFill="1" applyBorder="1" applyAlignment="1">
      <alignment horizontal="right"/>
    </xf>
    <xf numFmtId="2" fontId="2" fillId="3" borderId="2" xfId="0" applyNumberFormat="1" applyFont="1" applyFill="1" applyBorder="1" applyAlignment="1">
      <alignment horizontal="right"/>
    </xf>
    <xf numFmtId="2" fontId="2" fillId="3" borderId="2" xfId="0" applyNumberFormat="1" applyFont="1" applyFill="1" applyBorder="1" applyAlignment="1">
      <alignment horizontal="left"/>
    </xf>
    <xf numFmtId="2" fontId="2" fillId="6" borderId="5" xfId="0" applyNumberFormat="1" applyFont="1" applyFill="1" applyBorder="1" applyAlignment="1">
      <alignment horizontal="left"/>
    </xf>
    <xf numFmtId="2" fontId="2" fillId="6" borderId="6" xfId="0" applyNumberFormat="1" applyFont="1" applyFill="1" applyBorder="1" applyAlignment="1">
      <alignment horizontal="left"/>
    </xf>
    <xf numFmtId="2" fontId="2" fillId="6" borderId="6" xfId="0" applyNumberFormat="1" applyFont="1" applyFill="1" applyBorder="1" applyAlignment="1">
      <alignment horizontal="left" wrapText="1"/>
    </xf>
    <xf numFmtId="2" fontId="2" fillId="6" borderId="6" xfId="0" applyNumberFormat="1" applyFont="1" applyFill="1" applyBorder="1" applyAlignment="1">
      <alignment horizontal="right"/>
    </xf>
    <xf numFmtId="2" fontId="2" fillId="6" borderId="1" xfId="0" applyNumberFormat="1" applyFont="1" applyFill="1" applyBorder="1" applyAlignment="1">
      <alignment horizontal="left"/>
    </xf>
    <xf numFmtId="2" fontId="2" fillId="6" borderId="1" xfId="0" applyNumberFormat="1" applyFont="1" applyFill="1" applyBorder="1" applyAlignment="1">
      <alignment horizontal="right"/>
    </xf>
    <xf numFmtId="2" fontId="2" fillId="6" borderId="12" xfId="0" applyNumberFormat="1" applyFont="1" applyFill="1" applyBorder="1" applyAlignment="1">
      <alignment horizontal="left"/>
    </xf>
    <xf numFmtId="2" fontId="2" fillId="6" borderId="1" xfId="0" applyNumberFormat="1" applyFont="1" applyFill="1" applyBorder="1" applyAlignment="1">
      <alignment horizontal="left" wrapText="1"/>
    </xf>
    <xf numFmtId="2" fontId="2" fillId="6" borderId="15" xfId="0" applyNumberFormat="1" applyFont="1" applyFill="1" applyBorder="1" applyAlignment="1">
      <alignment horizontal="left" wrapText="1"/>
    </xf>
    <xf numFmtId="2" fontId="2" fillId="6" borderId="15" xfId="0" applyNumberFormat="1" applyFont="1" applyFill="1" applyBorder="1" applyAlignment="1">
      <alignment horizontal="left"/>
    </xf>
    <xf numFmtId="2" fontId="2" fillId="6" borderId="15" xfId="0" applyNumberFormat="1" applyFont="1" applyFill="1" applyBorder="1" applyAlignment="1">
      <alignment horizontal="right"/>
    </xf>
    <xf numFmtId="2" fontId="2" fillId="6" borderId="11" xfId="0" applyNumberFormat="1" applyFont="1" applyFill="1" applyBorder="1" applyAlignment="1">
      <alignment horizontal="left"/>
    </xf>
    <xf numFmtId="2" fontId="2" fillId="6" borderId="3" xfId="0" applyNumberFormat="1" applyFont="1" applyFill="1" applyBorder="1" applyAlignment="1">
      <alignment horizontal="left"/>
    </xf>
    <xf numFmtId="2" fontId="2" fillId="6" borderId="3" xfId="0" applyNumberFormat="1" applyFont="1" applyFill="1" applyBorder="1" applyAlignment="1">
      <alignment horizontal="right"/>
    </xf>
    <xf numFmtId="2" fontId="2" fillId="6" borderId="2" xfId="0" applyNumberFormat="1" applyFont="1" applyFill="1" applyBorder="1" applyAlignment="1">
      <alignment horizontal="left"/>
    </xf>
    <xf numFmtId="2" fontId="2" fillId="6" borderId="2" xfId="0" applyNumberFormat="1" applyFont="1" applyFill="1" applyBorder="1" applyAlignment="1">
      <alignment horizontal="right"/>
    </xf>
    <xf numFmtId="0" fontId="2" fillId="2" borderId="6" xfId="0" applyFont="1" applyFill="1" applyBorder="1" applyAlignment="1">
      <alignment wrapText="1"/>
    </xf>
    <xf numFmtId="0" fontId="2" fillId="2" borderId="12" xfId="0" applyFont="1" applyFill="1" applyBorder="1"/>
    <xf numFmtId="0" fontId="2" fillId="2" borderId="24" xfId="0" applyFont="1" applyFill="1" applyBorder="1"/>
    <xf numFmtId="0" fontId="2" fillId="2" borderId="15" xfId="0" applyFont="1" applyFill="1" applyBorder="1" applyAlignment="1">
      <alignment wrapText="1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3" borderId="6" xfId="0" applyFont="1" applyFill="1" applyBorder="1" applyAlignment="1">
      <alignment wrapText="1"/>
    </xf>
    <xf numFmtId="0" fontId="2" fillId="3" borderId="12" xfId="0" applyFont="1" applyFill="1" applyBorder="1"/>
    <xf numFmtId="0" fontId="2" fillId="3" borderId="24" xfId="0" applyFont="1" applyFill="1" applyBorder="1"/>
    <xf numFmtId="0" fontId="2" fillId="3" borderId="15" xfId="0" applyFont="1" applyFill="1" applyBorder="1" applyAlignment="1">
      <alignment wrapText="1"/>
    </xf>
    <xf numFmtId="0" fontId="2" fillId="2" borderId="17" xfId="0" applyFont="1" applyFill="1" applyBorder="1" applyAlignment="1">
      <alignment horizontal="center"/>
    </xf>
    <xf numFmtId="2" fontId="2" fillId="2" borderId="2" xfId="0" applyNumberFormat="1" applyFont="1" applyFill="1" applyBorder="1" applyAlignment="1">
      <alignment horizontal="right" vertical="center"/>
    </xf>
    <xf numFmtId="2" fontId="2" fillId="3" borderId="2" xfId="0" applyNumberFormat="1" applyFont="1" applyFill="1" applyBorder="1" applyAlignment="1">
      <alignment horizontal="right" vertical="center"/>
    </xf>
    <xf numFmtId="0" fontId="2" fillId="2" borderId="20" xfId="0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left"/>
    </xf>
    <xf numFmtId="2" fontId="5" fillId="3" borderId="1" xfId="0" applyNumberFormat="1" applyFont="1" applyFill="1" applyBorder="1" applyAlignment="1">
      <alignment horizontal="left"/>
    </xf>
    <xf numFmtId="2" fontId="5" fillId="6" borderId="1" xfId="0" applyNumberFormat="1" applyFont="1" applyFill="1" applyBorder="1" applyAlignment="1">
      <alignment horizontal="left"/>
    </xf>
    <xf numFmtId="0" fontId="5" fillId="2" borderId="5" xfId="0" applyFont="1" applyFill="1" applyBorder="1"/>
    <xf numFmtId="0" fontId="5" fillId="2" borderId="8" xfId="0" applyFont="1" applyFill="1" applyBorder="1" applyAlignment="1">
      <alignment horizontal="left" vertical="center" wrapText="1"/>
    </xf>
    <xf numFmtId="0" fontId="5" fillId="3" borderId="5" xfId="0" applyFont="1" applyFill="1" applyBorder="1"/>
    <xf numFmtId="0" fontId="5" fillId="3" borderId="8" xfId="0" applyFont="1" applyFill="1" applyBorder="1" applyAlignment="1">
      <alignment horizontal="left" vertical="center" wrapText="1"/>
    </xf>
    <xf numFmtId="2" fontId="2" fillId="2" borderId="5" xfId="0" applyNumberFormat="1" applyFont="1" applyFill="1" applyBorder="1" applyAlignment="1">
      <alignment horizontal="left" vertical="center"/>
    </xf>
    <xf numFmtId="0" fontId="1" fillId="5" borderId="4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/>
    </xf>
    <xf numFmtId="2" fontId="5" fillId="2" borderId="6" xfId="0" applyNumberFormat="1" applyFont="1" applyFill="1" applyBorder="1" applyAlignment="1">
      <alignment horizontal="right"/>
    </xf>
    <xf numFmtId="2" fontId="5" fillId="2" borderId="1" xfId="0" applyNumberFormat="1" applyFont="1" applyFill="1" applyBorder="1" applyAlignment="1">
      <alignment horizontal="right"/>
    </xf>
    <xf numFmtId="2" fontId="5" fillId="2" borderId="15" xfId="0" applyNumberFormat="1" applyFont="1" applyFill="1" applyBorder="1" applyAlignment="1">
      <alignment horizontal="right"/>
    </xf>
    <xf numFmtId="2" fontId="5" fillId="2" borderId="31" xfId="0" applyNumberFormat="1" applyFont="1" applyFill="1" applyBorder="1" applyAlignment="1">
      <alignment horizontal="right"/>
    </xf>
    <xf numFmtId="2" fontId="5" fillId="2" borderId="32" xfId="0" applyNumberFormat="1" applyFont="1" applyFill="1" applyBorder="1" applyAlignment="1">
      <alignment horizontal="right"/>
    </xf>
    <xf numFmtId="2" fontId="5" fillId="2" borderId="25" xfId="0" applyNumberFormat="1" applyFont="1" applyFill="1" applyBorder="1" applyAlignment="1">
      <alignment horizontal="right"/>
    </xf>
    <xf numFmtId="0" fontId="0" fillId="0" borderId="1" xfId="0" applyBorder="1"/>
    <xf numFmtId="2" fontId="5" fillId="2" borderId="6" xfId="0" applyNumberFormat="1" applyFont="1" applyFill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1" xfId="0" applyFont="1" applyBorder="1"/>
    <xf numFmtId="0" fontId="5" fillId="3" borderId="1" xfId="0" applyFont="1" applyFill="1" applyBorder="1" applyAlignment="1">
      <alignment horizontal="center"/>
    </xf>
    <xf numFmtId="0" fontId="5" fillId="3" borderId="15" xfId="0" applyFont="1" applyFill="1" applyBorder="1" applyAlignment="1">
      <alignment horizontal="center"/>
    </xf>
    <xf numFmtId="0" fontId="5" fillId="3" borderId="31" xfId="0" applyFont="1" applyFill="1" applyBorder="1" applyAlignment="1">
      <alignment horizontal="center"/>
    </xf>
    <xf numFmtId="0" fontId="5" fillId="3" borderId="33" xfId="0" applyFont="1" applyFill="1" applyBorder="1" applyAlignment="1">
      <alignment horizontal="center" vertical="center"/>
    </xf>
    <xf numFmtId="0" fontId="5" fillId="3" borderId="32" xfId="0" applyFont="1" applyFill="1" applyBorder="1" applyAlignment="1">
      <alignment horizontal="center"/>
    </xf>
    <xf numFmtId="0" fontId="5" fillId="3" borderId="25" xfId="0" applyFont="1" applyFill="1" applyBorder="1" applyAlignment="1">
      <alignment horizontal="center"/>
    </xf>
    <xf numFmtId="0" fontId="5" fillId="0" borderId="0" xfId="0" applyFont="1"/>
    <xf numFmtId="0" fontId="1" fillId="7" borderId="30" xfId="0" applyFont="1" applyFill="1" applyBorder="1" applyAlignment="1">
      <alignment horizontal="center" vertical="center"/>
    </xf>
    <xf numFmtId="0" fontId="1" fillId="7" borderId="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left" vertical="center" wrapText="1"/>
    </xf>
    <xf numFmtId="2" fontId="5" fillId="2" borderId="23" xfId="0" applyNumberFormat="1" applyFont="1" applyFill="1" applyBorder="1" applyAlignment="1">
      <alignment horizontal="center" vertical="top" wrapText="1"/>
    </xf>
    <xf numFmtId="2" fontId="5" fillId="2" borderId="4" xfId="0" applyNumberFormat="1" applyFont="1" applyFill="1" applyBorder="1" applyAlignment="1">
      <alignment horizontal="center" vertical="top" wrapText="1"/>
    </xf>
    <xf numFmtId="2" fontId="5" fillId="2" borderId="14" xfId="0" applyNumberFormat="1" applyFont="1" applyFill="1" applyBorder="1" applyAlignment="1">
      <alignment horizontal="center" vertical="top" wrapText="1"/>
    </xf>
    <xf numFmtId="2" fontId="2" fillId="2" borderId="12" xfId="0" applyNumberFormat="1" applyFont="1" applyFill="1" applyBorder="1" applyAlignment="1">
      <alignment horizontal="left" vertical="center"/>
    </xf>
    <xf numFmtId="2" fontId="2" fillId="2" borderId="24" xfId="0" applyNumberFormat="1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 wrapText="1"/>
    </xf>
    <xf numFmtId="0" fontId="5" fillId="3" borderId="34" xfId="0" applyFont="1" applyFill="1" applyBorder="1" applyAlignment="1">
      <alignment horizontal="center" vertical="center" wrapText="1"/>
    </xf>
    <xf numFmtId="0" fontId="5" fillId="3" borderId="35" xfId="0" applyFont="1" applyFill="1" applyBorder="1" applyAlignment="1">
      <alignment horizontal="center" vertical="center" wrapText="1"/>
    </xf>
    <xf numFmtId="0" fontId="5" fillId="3" borderId="36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 wrapText="1"/>
    </xf>
    <xf numFmtId="0" fontId="5" fillId="3" borderId="22" xfId="0" applyFont="1" applyFill="1" applyBorder="1" applyAlignment="1">
      <alignment horizontal="left" vertical="center" wrapText="1"/>
    </xf>
    <xf numFmtId="0" fontId="5" fillId="3" borderId="11" xfId="0" applyFont="1" applyFill="1" applyBorder="1" applyAlignment="1">
      <alignment horizontal="left" vertical="center" wrapText="1"/>
    </xf>
    <xf numFmtId="2" fontId="2" fillId="3" borderId="23" xfId="0" applyNumberFormat="1" applyFont="1" applyFill="1" applyBorder="1" applyAlignment="1">
      <alignment horizontal="right" vertical="center"/>
    </xf>
    <xf numFmtId="2" fontId="2" fillId="3" borderId="3" xfId="0" applyNumberFormat="1" applyFont="1" applyFill="1" applyBorder="1" applyAlignment="1">
      <alignment horizontal="right" vertical="center"/>
    </xf>
    <xf numFmtId="0" fontId="5" fillId="3" borderId="2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2" fontId="2" fillId="2" borderId="23" xfId="0" applyNumberFormat="1" applyFont="1" applyFill="1" applyBorder="1" applyAlignment="1">
      <alignment horizontal="right" vertical="center"/>
    </xf>
    <xf numFmtId="2" fontId="2" fillId="2" borderId="3" xfId="0" applyNumberFormat="1" applyFont="1" applyFill="1" applyBorder="1" applyAlignment="1">
      <alignment horizontal="right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left" vertical="center" wrapText="1"/>
    </xf>
    <xf numFmtId="0" fontId="5" fillId="2" borderId="11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2" fontId="2" fillId="2" borderId="7" xfId="0" applyNumberFormat="1" applyFont="1" applyFill="1" applyBorder="1" applyAlignment="1">
      <alignment horizontal="center" vertical="center" wrapText="1"/>
    </xf>
    <xf numFmtId="2" fontId="2" fillId="2" borderId="9" xfId="0" applyNumberFormat="1" applyFont="1" applyFill="1" applyBorder="1" applyAlignment="1">
      <alignment horizontal="center" vertical="center" wrapText="1"/>
    </xf>
    <xf numFmtId="2" fontId="2" fillId="2" borderId="16" xfId="0" applyNumberFormat="1" applyFont="1" applyFill="1" applyBorder="1" applyAlignment="1">
      <alignment horizontal="center" vertical="center" wrapText="1"/>
    </xf>
    <xf numFmtId="2" fontId="2" fillId="2" borderId="8" xfId="0" applyNumberFormat="1" applyFont="1" applyFill="1" applyBorder="1" applyAlignment="1">
      <alignment horizontal="left" vertical="center"/>
    </xf>
    <xf numFmtId="2" fontId="2" fillId="2" borderId="10" xfId="0" applyNumberFormat="1" applyFont="1" applyFill="1" applyBorder="1" applyAlignment="1">
      <alignment horizontal="left" vertical="center"/>
    </xf>
    <xf numFmtId="2" fontId="2" fillId="2" borderId="11" xfId="0" applyNumberFormat="1" applyFont="1" applyFill="1" applyBorder="1" applyAlignment="1">
      <alignment horizontal="left" vertical="center"/>
    </xf>
    <xf numFmtId="2" fontId="2" fillId="2" borderId="8" xfId="0" applyNumberFormat="1" applyFont="1" applyFill="1" applyBorder="1" applyAlignment="1">
      <alignment horizontal="left" vertical="center" wrapText="1"/>
    </xf>
    <xf numFmtId="2" fontId="2" fillId="2" borderId="10" xfId="0" applyNumberFormat="1" applyFont="1" applyFill="1" applyBorder="1" applyAlignment="1">
      <alignment horizontal="left" vertical="center" wrapText="1"/>
    </xf>
    <xf numFmtId="2" fontId="2" fillId="2" borderId="11" xfId="0" applyNumberFormat="1" applyFont="1" applyFill="1" applyBorder="1" applyAlignment="1">
      <alignment horizontal="left" vertical="center" wrapText="1"/>
    </xf>
    <xf numFmtId="2" fontId="5" fillId="2" borderId="2" xfId="0" applyNumberFormat="1" applyFont="1" applyFill="1" applyBorder="1" applyAlignment="1">
      <alignment horizontal="left" vertical="center"/>
    </xf>
    <xf numFmtId="2" fontId="5" fillId="2" borderId="4" xfId="0" applyNumberFormat="1" applyFont="1" applyFill="1" applyBorder="1" applyAlignment="1">
      <alignment horizontal="left" vertical="center"/>
    </xf>
    <xf numFmtId="2" fontId="5" fillId="2" borderId="3" xfId="0" applyNumberFormat="1" applyFont="1" applyFill="1" applyBorder="1" applyAlignment="1">
      <alignment horizontal="left" vertical="center"/>
    </xf>
    <xf numFmtId="2" fontId="2" fillId="2" borderId="13" xfId="0" applyNumberFormat="1" applyFont="1" applyFill="1" applyBorder="1" applyAlignment="1">
      <alignment horizontal="left" vertical="center"/>
    </xf>
    <xf numFmtId="2" fontId="5" fillId="2" borderId="14" xfId="0" applyNumberFormat="1" applyFont="1" applyFill="1" applyBorder="1" applyAlignment="1">
      <alignment horizontal="left" vertical="center"/>
    </xf>
    <xf numFmtId="2" fontId="2" fillId="2" borderId="18" xfId="0" applyNumberFormat="1" applyFont="1" applyFill="1" applyBorder="1" applyAlignment="1">
      <alignment horizontal="center" vertical="center" wrapText="1"/>
    </xf>
    <xf numFmtId="2" fontId="2" fillId="2" borderId="19" xfId="0" applyNumberFormat="1" applyFont="1" applyFill="1" applyBorder="1" applyAlignment="1">
      <alignment horizontal="center" vertical="center" wrapText="1"/>
    </xf>
    <xf numFmtId="2" fontId="2" fillId="2" borderId="13" xfId="0" applyNumberFormat="1" applyFont="1" applyFill="1" applyBorder="1" applyAlignment="1">
      <alignment horizontal="left" vertical="center" wrapText="1"/>
    </xf>
    <xf numFmtId="2" fontId="2" fillId="2" borderId="17" xfId="0" applyNumberFormat="1" applyFont="1" applyFill="1" applyBorder="1" applyAlignment="1">
      <alignment horizontal="center" vertical="center" wrapText="1"/>
    </xf>
    <xf numFmtId="2" fontId="2" fillId="3" borderId="7" xfId="0" applyNumberFormat="1" applyFont="1" applyFill="1" applyBorder="1" applyAlignment="1">
      <alignment horizontal="center" vertical="center" wrapText="1"/>
    </xf>
    <xf numFmtId="2" fontId="2" fillId="3" borderId="9" xfId="0" applyNumberFormat="1" applyFont="1" applyFill="1" applyBorder="1" applyAlignment="1">
      <alignment horizontal="center" vertical="center" wrapText="1"/>
    </xf>
    <xf numFmtId="2" fontId="2" fillId="3" borderId="16" xfId="0" applyNumberFormat="1" applyFont="1" applyFill="1" applyBorder="1" applyAlignment="1">
      <alignment horizontal="center" vertical="center" wrapText="1"/>
    </xf>
    <xf numFmtId="2" fontId="2" fillId="3" borderId="8" xfId="0" applyNumberFormat="1" applyFont="1" applyFill="1" applyBorder="1" applyAlignment="1">
      <alignment horizontal="left" vertical="center"/>
    </xf>
    <xf numFmtId="2" fontId="2" fillId="3" borderId="10" xfId="0" applyNumberFormat="1" applyFont="1" applyFill="1" applyBorder="1" applyAlignment="1">
      <alignment horizontal="left" vertical="center"/>
    </xf>
    <xf numFmtId="2" fontId="2" fillId="3" borderId="11" xfId="0" applyNumberFormat="1" applyFont="1" applyFill="1" applyBorder="1" applyAlignment="1">
      <alignment horizontal="left" vertical="center"/>
    </xf>
    <xf numFmtId="2" fontId="2" fillId="3" borderId="8" xfId="0" applyNumberFormat="1" applyFont="1" applyFill="1" applyBorder="1" applyAlignment="1">
      <alignment horizontal="left" vertical="center" wrapText="1"/>
    </xf>
    <xf numFmtId="2" fontId="2" fillId="3" borderId="10" xfId="0" applyNumberFormat="1" applyFont="1" applyFill="1" applyBorder="1" applyAlignment="1">
      <alignment horizontal="left" vertical="center" wrapText="1"/>
    </xf>
    <xf numFmtId="2" fontId="2" fillId="3" borderId="11" xfId="0" applyNumberFormat="1" applyFont="1" applyFill="1" applyBorder="1" applyAlignment="1">
      <alignment horizontal="left" vertical="center" wrapText="1"/>
    </xf>
    <xf numFmtId="2" fontId="5" fillId="3" borderId="2" xfId="0" applyNumberFormat="1" applyFont="1" applyFill="1" applyBorder="1" applyAlignment="1">
      <alignment horizontal="left" vertical="center"/>
    </xf>
    <xf numFmtId="2" fontId="5" fillId="3" borderId="4" xfId="0" applyNumberFormat="1" applyFont="1" applyFill="1" applyBorder="1" applyAlignment="1">
      <alignment horizontal="left" vertical="center"/>
    </xf>
    <xf numFmtId="2" fontId="5" fillId="3" borderId="3" xfId="0" applyNumberFormat="1" applyFont="1" applyFill="1" applyBorder="1" applyAlignment="1">
      <alignment horizontal="left" vertical="center"/>
    </xf>
    <xf numFmtId="2" fontId="2" fillId="3" borderId="13" xfId="0" applyNumberFormat="1" applyFont="1" applyFill="1" applyBorder="1" applyAlignment="1">
      <alignment horizontal="left" vertical="center"/>
    </xf>
    <xf numFmtId="2" fontId="5" fillId="3" borderId="14" xfId="0" applyNumberFormat="1" applyFont="1" applyFill="1" applyBorder="1" applyAlignment="1">
      <alignment horizontal="left" vertical="center"/>
    </xf>
    <xf numFmtId="2" fontId="2" fillId="3" borderId="18" xfId="0" applyNumberFormat="1" applyFont="1" applyFill="1" applyBorder="1" applyAlignment="1">
      <alignment horizontal="center" vertical="center" wrapText="1"/>
    </xf>
    <xf numFmtId="2" fontId="2" fillId="3" borderId="19" xfId="0" applyNumberFormat="1" applyFont="1" applyFill="1" applyBorder="1" applyAlignment="1">
      <alignment horizontal="center" vertical="center" wrapText="1"/>
    </xf>
    <xf numFmtId="2" fontId="2" fillId="3" borderId="13" xfId="0" applyNumberFormat="1" applyFont="1" applyFill="1" applyBorder="1" applyAlignment="1">
      <alignment horizontal="left" vertical="center" wrapText="1"/>
    </xf>
    <xf numFmtId="2" fontId="2" fillId="3" borderId="17" xfId="0" applyNumberFormat="1" applyFont="1" applyFill="1" applyBorder="1" applyAlignment="1">
      <alignment horizontal="center" vertical="center" wrapText="1"/>
    </xf>
    <xf numFmtId="2" fontId="5" fillId="6" borderId="7" xfId="0" applyNumberFormat="1" applyFont="1" applyFill="1" applyBorder="1" applyAlignment="1">
      <alignment horizontal="center" vertical="center" wrapText="1"/>
    </xf>
    <xf numFmtId="2" fontId="5" fillId="6" borderId="9" xfId="0" applyNumberFormat="1" applyFont="1" applyFill="1" applyBorder="1" applyAlignment="1">
      <alignment horizontal="center" vertical="center" wrapText="1"/>
    </xf>
    <xf numFmtId="2" fontId="5" fillId="6" borderId="16" xfId="0" applyNumberFormat="1" applyFont="1" applyFill="1" applyBorder="1" applyAlignment="1">
      <alignment horizontal="center" vertical="center" wrapText="1"/>
    </xf>
    <xf numFmtId="2" fontId="2" fillId="6" borderId="8" xfId="0" applyNumberFormat="1" applyFont="1" applyFill="1" applyBorder="1" applyAlignment="1">
      <alignment horizontal="left" vertical="center"/>
    </xf>
    <xf numFmtId="2" fontId="2" fillId="6" borderId="10" xfId="0" applyNumberFormat="1" applyFont="1" applyFill="1" applyBorder="1" applyAlignment="1">
      <alignment horizontal="left" vertical="center"/>
    </xf>
    <xf numFmtId="2" fontId="2" fillId="6" borderId="11" xfId="0" applyNumberFormat="1" applyFont="1" applyFill="1" applyBorder="1" applyAlignment="1">
      <alignment horizontal="left" vertical="center"/>
    </xf>
    <xf numFmtId="2" fontId="2" fillId="6" borderId="8" xfId="0" applyNumberFormat="1" applyFont="1" applyFill="1" applyBorder="1" applyAlignment="1">
      <alignment horizontal="left" vertical="center" wrapText="1"/>
    </xf>
    <xf numFmtId="2" fontId="2" fillId="6" borderId="10" xfId="0" applyNumberFormat="1" applyFont="1" applyFill="1" applyBorder="1" applyAlignment="1">
      <alignment horizontal="left" vertical="center" wrapText="1"/>
    </xf>
    <xf numFmtId="2" fontId="2" fillId="6" borderId="11" xfId="0" applyNumberFormat="1" applyFont="1" applyFill="1" applyBorder="1" applyAlignment="1">
      <alignment horizontal="left" vertical="center" wrapText="1"/>
    </xf>
    <xf numFmtId="2" fontId="5" fillId="6" borderId="2" xfId="0" applyNumberFormat="1" applyFont="1" applyFill="1" applyBorder="1" applyAlignment="1">
      <alignment horizontal="left" vertical="center"/>
    </xf>
    <xf numFmtId="2" fontId="5" fillId="6" borderId="4" xfId="0" applyNumberFormat="1" applyFont="1" applyFill="1" applyBorder="1" applyAlignment="1">
      <alignment horizontal="left" vertical="center"/>
    </xf>
    <xf numFmtId="2" fontId="5" fillId="6" borderId="3" xfId="0" applyNumberFormat="1" applyFont="1" applyFill="1" applyBorder="1" applyAlignment="1">
      <alignment horizontal="left" vertical="center"/>
    </xf>
    <xf numFmtId="2" fontId="2" fillId="6" borderId="13" xfId="0" applyNumberFormat="1" applyFont="1" applyFill="1" applyBorder="1" applyAlignment="1">
      <alignment horizontal="left" vertical="center"/>
    </xf>
    <xf numFmtId="2" fontId="5" fillId="6" borderId="14" xfId="0" applyNumberFormat="1" applyFont="1" applyFill="1" applyBorder="1" applyAlignment="1">
      <alignment horizontal="left" vertical="center"/>
    </xf>
    <xf numFmtId="2" fontId="5" fillId="6" borderId="18" xfId="0" applyNumberFormat="1" applyFont="1" applyFill="1" applyBorder="1" applyAlignment="1">
      <alignment horizontal="center" vertical="center" wrapText="1"/>
    </xf>
    <xf numFmtId="2" fontId="5" fillId="6" borderId="19" xfId="0" applyNumberFormat="1" applyFont="1" applyFill="1" applyBorder="1" applyAlignment="1">
      <alignment horizontal="center" vertical="center" wrapText="1"/>
    </xf>
    <xf numFmtId="2" fontId="2" fillId="6" borderId="13" xfId="0" applyNumberFormat="1" applyFont="1" applyFill="1" applyBorder="1" applyAlignment="1">
      <alignment horizontal="left" vertical="center" wrapText="1"/>
    </xf>
    <xf numFmtId="2" fontId="5" fillId="6" borderId="21" xfId="0" applyNumberFormat="1" applyFont="1" applyFill="1" applyBorder="1" applyAlignment="1">
      <alignment horizontal="center" vertical="center" wrapText="1"/>
    </xf>
    <xf numFmtId="2" fontId="5" fillId="6" borderId="20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8"/>
  <sheetViews>
    <sheetView tabSelected="1" workbookViewId="0">
      <pane ySplit="2" topLeftCell="A3" activePane="bottomLeft" state="frozen"/>
      <selection pane="bottomLeft" sqref="A1:A2"/>
    </sheetView>
  </sheetViews>
  <sheetFormatPr defaultRowHeight="15"/>
  <cols>
    <col min="1" max="1" width="24" customWidth="1"/>
    <col min="2" max="2" width="23.85546875" bestFit="1" customWidth="1"/>
    <col min="3" max="3" width="17.7109375" customWidth="1"/>
    <col min="4" max="4" width="16.5703125" customWidth="1"/>
    <col min="5" max="5" width="14.5703125" customWidth="1"/>
    <col min="6" max="6" width="15.28515625" customWidth="1"/>
    <col min="7" max="7" width="19.7109375" customWidth="1"/>
    <col min="8" max="8" width="11.28515625" customWidth="1"/>
    <col min="9" max="9" width="7.7109375" bestFit="1" customWidth="1"/>
    <col min="10" max="10" width="53" bestFit="1" customWidth="1"/>
  </cols>
  <sheetData>
    <row r="1" spans="1:10">
      <c r="A1" s="109" t="s">
        <v>0</v>
      </c>
      <c r="B1" s="111" t="s">
        <v>1</v>
      </c>
      <c r="C1" s="111"/>
      <c r="D1" s="111"/>
      <c r="E1" s="107" t="s">
        <v>2</v>
      </c>
      <c r="F1" s="107" t="s">
        <v>3</v>
      </c>
      <c r="G1" s="107" t="s">
        <v>4</v>
      </c>
      <c r="H1" s="105" t="s">
        <v>5</v>
      </c>
      <c r="I1" s="105" t="s">
        <v>6</v>
      </c>
      <c r="J1" s="107" t="s">
        <v>7</v>
      </c>
    </row>
    <row r="2" spans="1:10" ht="24">
      <c r="A2" s="110"/>
      <c r="B2" s="78" t="s">
        <v>8</v>
      </c>
      <c r="C2" s="16" t="s">
        <v>9</v>
      </c>
      <c r="D2" s="16" t="s">
        <v>10</v>
      </c>
      <c r="E2" s="108"/>
      <c r="F2" s="108"/>
      <c r="G2" s="108"/>
      <c r="H2" s="106"/>
      <c r="I2" s="106"/>
      <c r="J2" s="108"/>
    </row>
    <row r="3" spans="1:10" ht="15.75" thickBot="1">
      <c r="A3" s="96" t="s">
        <v>11</v>
      </c>
      <c r="B3" s="97"/>
      <c r="C3" s="97"/>
      <c r="D3" s="97"/>
      <c r="E3" s="97"/>
      <c r="F3" s="97"/>
      <c r="G3" s="97"/>
      <c r="H3" s="97"/>
      <c r="I3" s="97"/>
      <c r="J3" s="88" t="s">
        <v>12</v>
      </c>
    </row>
    <row r="4" spans="1:10">
      <c r="A4" s="76" t="s">
        <v>13</v>
      </c>
      <c r="B4" s="86" t="s">
        <v>14</v>
      </c>
      <c r="C4" s="23"/>
      <c r="D4" s="100" t="s">
        <v>15</v>
      </c>
      <c r="E4" s="24">
        <v>1.85</v>
      </c>
      <c r="F4" s="24">
        <v>0.85</v>
      </c>
      <c r="G4" s="24">
        <v>2.7</v>
      </c>
      <c r="H4" s="79">
        <v>0.23125000000000001</v>
      </c>
      <c r="I4" s="82">
        <v>0.10625</v>
      </c>
      <c r="J4" s="87" t="s">
        <v>16</v>
      </c>
    </row>
    <row r="5" spans="1:10">
      <c r="A5" s="103" t="s">
        <v>17</v>
      </c>
      <c r="B5" s="15" t="s">
        <v>18</v>
      </c>
      <c r="C5" s="17"/>
      <c r="D5" s="101"/>
      <c r="E5" s="2">
        <v>2.0750000000000002</v>
      </c>
      <c r="F5" s="2">
        <v>0.875</v>
      </c>
      <c r="G5" s="2">
        <v>2.95</v>
      </c>
      <c r="H5" s="80">
        <v>0.25937500000000002</v>
      </c>
      <c r="I5" s="83">
        <v>0.109375</v>
      </c>
      <c r="J5" s="85"/>
    </row>
    <row r="6" spans="1:10">
      <c r="A6" s="103"/>
      <c r="B6" s="15" t="s">
        <v>19</v>
      </c>
      <c r="C6" s="17"/>
      <c r="D6" s="101"/>
      <c r="E6" s="2">
        <v>2.0750000000000002</v>
      </c>
      <c r="F6" s="2">
        <v>0.875</v>
      </c>
      <c r="G6" s="2">
        <v>2.95</v>
      </c>
      <c r="H6" s="80">
        <v>0.25937500000000002</v>
      </c>
      <c r="I6" s="83">
        <v>0.109375</v>
      </c>
      <c r="J6" s="85"/>
    </row>
    <row r="7" spans="1:10">
      <c r="A7" s="103"/>
      <c r="B7" s="15" t="s">
        <v>20</v>
      </c>
      <c r="C7" s="17"/>
      <c r="D7" s="101"/>
      <c r="E7" s="2">
        <v>2.0750000000000002</v>
      </c>
      <c r="F7" s="2">
        <v>0.875</v>
      </c>
      <c r="G7" s="2">
        <v>2.95</v>
      </c>
      <c r="H7" s="80">
        <v>0.25937500000000002</v>
      </c>
      <c r="I7" s="83">
        <v>0.109375</v>
      </c>
      <c r="J7" s="85"/>
    </row>
    <row r="8" spans="1:10">
      <c r="A8" s="103"/>
      <c r="B8" s="15" t="s">
        <v>21</v>
      </c>
      <c r="C8" s="17"/>
      <c r="D8" s="101"/>
      <c r="E8" s="2">
        <v>2.0750000000000002</v>
      </c>
      <c r="F8" s="2">
        <v>0.875</v>
      </c>
      <c r="G8" s="2">
        <v>2.95</v>
      </c>
      <c r="H8" s="80">
        <v>0.25937500000000002</v>
      </c>
      <c r="I8" s="83">
        <v>0.109375</v>
      </c>
      <c r="J8" s="85"/>
    </row>
    <row r="9" spans="1:10">
      <c r="A9" s="103"/>
      <c r="B9" s="15" t="s">
        <v>22</v>
      </c>
      <c r="C9" s="17"/>
      <c r="D9" s="101"/>
      <c r="E9" s="2">
        <v>2.0750000000000002</v>
      </c>
      <c r="F9" s="2">
        <v>0.875</v>
      </c>
      <c r="G9" s="2">
        <v>2.95</v>
      </c>
      <c r="H9" s="80">
        <v>0.25937500000000002</v>
      </c>
      <c r="I9" s="83">
        <v>0.109375</v>
      </c>
      <c r="J9" s="85"/>
    </row>
    <row r="10" spans="1:10">
      <c r="A10" s="103"/>
      <c r="B10" s="15" t="s">
        <v>23</v>
      </c>
      <c r="C10" s="17"/>
      <c r="D10" s="101"/>
      <c r="E10" s="2">
        <v>2.0750000000000002</v>
      </c>
      <c r="F10" s="2">
        <v>0.875</v>
      </c>
      <c r="G10" s="2">
        <v>2.95</v>
      </c>
      <c r="H10" s="80">
        <v>0.25937500000000002</v>
      </c>
      <c r="I10" s="83">
        <v>0.109375</v>
      </c>
      <c r="J10" s="85"/>
    </row>
    <row r="11" spans="1:10">
      <c r="A11" s="103"/>
      <c r="B11" s="15" t="s">
        <v>24</v>
      </c>
      <c r="C11" s="17"/>
      <c r="D11" s="101"/>
      <c r="E11" s="2">
        <v>2.0750000000000002</v>
      </c>
      <c r="F11" s="2">
        <v>0.875</v>
      </c>
      <c r="G11" s="2">
        <v>2.95</v>
      </c>
      <c r="H11" s="80">
        <v>0.25937500000000002</v>
      </c>
      <c r="I11" s="83">
        <v>0.109375</v>
      </c>
      <c r="J11" s="85"/>
    </row>
    <row r="12" spans="1:10">
      <c r="A12" s="103"/>
      <c r="B12" s="15" t="s">
        <v>25</v>
      </c>
      <c r="C12" s="17"/>
      <c r="D12" s="101"/>
      <c r="E12" s="2">
        <v>2.0750000000000002</v>
      </c>
      <c r="F12" s="2">
        <v>0.875</v>
      </c>
      <c r="G12" s="2">
        <v>2.95</v>
      </c>
      <c r="H12" s="80">
        <v>0.25937500000000002</v>
      </c>
      <c r="I12" s="83">
        <v>0.109375</v>
      </c>
      <c r="J12" s="85"/>
    </row>
    <row r="13" spans="1:10">
      <c r="A13" s="25" t="s">
        <v>26</v>
      </c>
      <c r="B13" s="15" t="s">
        <v>27</v>
      </c>
      <c r="C13" s="17"/>
      <c r="D13" s="101"/>
      <c r="E13" s="2">
        <v>2.5</v>
      </c>
      <c r="F13" s="2">
        <v>1.2</v>
      </c>
      <c r="G13" s="2">
        <v>3.7</v>
      </c>
      <c r="H13" s="80">
        <v>0.3125</v>
      </c>
      <c r="I13" s="83">
        <v>0.15</v>
      </c>
      <c r="J13" s="85"/>
    </row>
    <row r="14" spans="1:10">
      <c r="A14" s="25" t="s">
        <v>28</v>
      </c>
      <c r="B14" s="15" t="s">
        <v>29</v>
      </c>
      <c r="C14" s="17"/>
      <c r="D14" s="101"/>
      <c r="E14" s="2">
        <v>2.1</v>
      </c>
      <c r="F14" s="2">
        <v>0.9</v>
      </c>
      <c r="G14" s="2">
        <v>3</v>
      </c>
      <c r="H14" s="80">
        <v>0.26250000000000001</v>
      </c>
      <c r="I14" s="83">
        <v>0.1125</v>
      </c>
      <c r="J14" s="85"/>
    </row>
    <row r="15" spans="1:10">
      <c r="A15" s="25" t="s">
        <v>30</v>
      </c>
      <c r="B15" s="15" t="s">
        <v>31</v>
      </c>
      <c r="C15" s="17"/>
      <c r="D15" s="101"/>
      <c r="E15" s="2">
        <v>2.6</v>
      </c>
      <c r="F15" s="2">
        <v>1.2</v>
      </c>
      <c r="G15" s="2">
        <v>3.8</v>
      </c>
      <c r="H15" s="80">
        <v>0.26250000000000001</v>
      </c>
      <c r="I15" s="83">
        <v>0.1125</v>
      </c>
      <c r="J15" s="85"/>
    </row>
    <row r="16" spans="1:10">
      <c r="A16" s="25" t="s">
        <v>32</v>
      </c>
      <c r="B16" s="15" t="s">
        <v>32</v>
      </c>
      <c r="C16" s="17"/>
      <c r="D16" s="101"/>
      <c r="E16" s="2">
        <v>2</v>
      </c>
      <c r="F16" s="2">
        <v>0.6</v>
      </c>
      <c r="G16" s="2">
        <v>2.6</v>
      </c>
      <c r="H16" s="80">
        <v>0.3125</v>
      </c>
      <c r="I16" s="83">
        <v>0.13750000000000001</v>
      </c>
      <c r="J16" s="85"/>
    </row>
    <row r="17" spans="1:10">
      <c r="A17" s="25" t="s">
        <v>33</v>
      </c>
      <c r="B17" s="15" t="s">
        <v>34</v>
      </c>
      <c r="C17" s="17"/>
      <c r="D17" s="101"/>
      <c r="E17" s="2">
        <v>3.1</v>
      </c>
      <c r="F17" s="2">
        <v>1.2999999999999998</v>
      </c>
      <c r="G17" s="2">
        <v>4.4000000000000004</v>
      </c>
      <c r="H17" s="80">
        <v>0.38750000000000001</v>
      </c>
      <c r="I17" s="83">
        <v>0.16250000000000001</v>
      </c>
      <c r="J17" s="85"/>
    </row>
    <row r="18" spans="1:10">
      <c r="A18" s="103" t="s">
        <v>35</v>
      </c>
      <c r="B18" s="15" t="s">
        <v>36</v>
      </c>
      <c r="C18" s="17"/>
      <c r="D18" s="101"/>
      <c r="E18" s="2">
        <v>2.6</v>
      </c>
      <c r="F18" s="2">
        <v>1.2</v>
      </c>
      <c r="G18" s="2">
        <v>3.8</v>
      </c>
      <c r="H18" s="80">
        <v>0.32500000000000001</v>
      </c>
      <c r="I18" s="83">
        <v>0.15</v>
      </c>
      <c r="J18" s="85"/>
    </row>
    <row r="19" spans="1:10">
      <c r="A19" s="103"/>
      <c r="B19" s="15" t="s">
        <v>37</v>
      </c>
      <c r="C19" s="17"/>
      <c r="D19" s="101"/>
      <c r="E19" s="2">
        <v>2.6</v>
      </c>
      <c r="F19" s="2">
        <v>1.2</v>
      </c>
      <c r="G19" s="2">
        <v>3.8</v>
      </c>
      <c r="H19" s="80">
        <v>0.32500000000000001</v>
      </c>
      <c r="I19" s="83">
        <v>0.15</v>
      </c>
      <c r="J19" s="85"/>
    </row>
    <row r="20" spans="1:10">
      <c r="A20" s="103"/>
      <c r="B20" s="15" t="s">
        <v>38</v>
      </c>
      <c r="C20" s="17"/>
      <c r="D20" s="101"/>
      <c r="E20" s="2">
        <v>2.75</v>
      </c>
      <c r="F20" s="2">
        <v>1.35</v>
      </c>
      <c r="G20" s="2">
        <v>4.0999999999999996</v>
      </c>
      <c r="H20" s="80">
        <v>0.32500000000000001</v>
      </c>
      <c r="I20" s="83">
        <v>0.15</v>
      </c>
      <c r="J20" s="85"/>
    </row>
    <row r="21" spans="1:10">
      <c r="A21" s="103" t="s">
        <v>39</v>
      </c>
      <c r="B21" s="15" t="s">
        <v>40</v>
      </c>
      <c r="C21" s="17"/>
      <c r="D21" s="101"/>
      <c r="E21" s="2">
        <v>2.6</v>
      </c>
      <c r="F21" s="2">
        <v>1.2</v>
      </c>
      <c r="G21" s="2">
        <v>3.8</v>
      </c>
      <c r="H21" s="80">
        <v>0.3125</v>
      </c>
      <c r="I21" s="83">
        <v>0.15</v>
      </c>
      <c r="J21" s="85"/>
    </row>
    <row r="22" spans="1:10">
      <c r="A22" s="103"/>
      <c r="B22" s="15" t="s">
        <v>41</v>
      </c>
      <c r="C22" s="17"/>
      <c r="D22" s="101"/>
      <c r="E22" s="2">
        <v>2.6</v>
      </c>
      <c r="F22" s="2">
        <v>1.2</v>
      </c>
      <c r="G22" s="2">
        <v>3.8</v>
      </c>
      <c r="H22" s="80">
        <v>0.3125</v>
      </c>
      <c r="I22" s="83">
        <v>0.15</v>
      </c>
      <c r="J22" s="85"/>
    </row>
    <row r="23" spans="1:10">
      <c r="A23" s="103"/>
      <c r="B23" s="15" t="s">
        <v>42</v>
      </c>
      <c r="C23" s="17"/>
      <c r="D23" s="101"/>
      <c r="E23" s="2">
        <v>2.6</v>
      </c>
      <c r="F23" s="2">
        <v>1.2</v>
      </c>
      <c r="G23" s="2">
        <v>3.8</v>
      </c>
      <c r="H23" s="80">
        <v>0.3125</v>
      </c>
      <c r="I23" s="83">
        <v>0.15</v>
      </c>
      <c r="J23" s="85"/>
    </row>
    <row r="24" spans="1:10">
      <c r="A24" s="103"/>
      <c r="B24" s="15" t="s">
        <v>43</v>
      </c>
      <c r="C24" s="17"/>
      <c r="D24" s="101"/>
      <c r="E24" s="2">
        <v>2.6</v>
      </c>
      <c r="F24" s="2">
        <v>1.2</v>
      </c>
      <c r="G24" s="2">
        <v>3.8</v>
      </c>
      <c r="H24" s="80">
        <v>0.3125</v>
      </c>
      <c r="I24" s="83">
        <v>0.15</v>
      </c>
      <c r="J24" s="85"/>
    </row>
    <row r="25" spans="1:10">
      <c r="A25" s="103" t="s">
        <v>44</v>
      </c>
      <c r="B25" s="15" t="s">
        <v>45</v>
      </c>
      <c r="C25" s="17"/>
      <c r="D25" s="101"/>
      <c r="E25" s="2">
        <v>2.5</v>
      </c>
      <c r="F25" s="2">
        <v>1.2</v>
      </c>
      <c r="G25" s="2">
        <v>3.7</v>
      </c>
      <c r="H25" s="80">
        <v>0.3125</v>
      </c>
      <c r="I25" s="83">
        <v>0.15</v>
      </c>
      <c r="J25" s="85"/>
    </row>
    <row r="26" spans="1:10">
      <c r="A26" s="103"/>
      <c r="B26" s="15" t="s">
        <v>46</v>
      </c>
      <c r="C26" s="17"/>
      <c r="D26" s="101"/>
      <c r="E26" s="2">
        <v>2.5</v>
      </c>
      <c r="F26" s="2">
        <v>1.2</v>
      </c>
      <c r="G26" s="2">
        <v>3.7</v>
      </c>
      <c r="H26" s="80">
        <v>0.3125</v>
      </c>
      <c r="I26" s="83">
        <v>0.15</v>
      </c>
      <c r="J26" s="85"/>
    </row>
    <row r="27" spans="1:10">
      <c r="A27" s="103"/>
      <c r="B27" s="15" t="s">
        <v>47</v>
      </c>
      <c r="C27" s="17"/>
      <c r="D27" s="101"/>
      <c r="E27" s="2">
        <v>2.5</v>
      </c>
      <c r="F27" s="2">
        <v>1.2</v>
      </c>
      <c r="G27" s="2">
        <v>3.7</v>
      </c>
      <c r="H27" s="80">
        <v>0.3125</v>
      </c>
      <c r="I27" s="83">
        <v>0.15</v>
      </c>
      <c r="J27" s="85"/>
    </row>
    <row r="28" spans="1:10">
      <c r="A28" s="103"/>
      <c r="B28" s="15" t="s">
        <v>48</v>
      </c>
      <c r="C28" s="17"/>
      <c r="D28" s="101"/>
      <c r="E28" s="2">
        <v>2.5</v>
      </c>
      <c r="F28" s="2">
        <v>1.2</v>
      </c>
      <c r="G28" s="2">
        <v>3.7</v>
      </c>
      <c r="H28" s="80">
        <v>0.3125</v>
      </c>
      <c r="I28" s="83">
        <v>0.15</v>
      </c>
      <c r="J28" s="85"/>
    </row>
    <row r="29" spans="1:10">
      <c r="A29" s="103"/>
      <c r="B29" s="15" t="s">
        <v>49</v>
      </c>
      <c r="C29" s="17"/>
      <c r="D29" s="101"/>
      <c r="E29" s="2">
        <v>2.5</v>
      </c>
      <c r="F29" s="2">
        <v>1.2</v>
      </c>
      <c r="G29" s="2">
        <v>3.7</v>
      </c>
      <c r="H29" s="80">
        <v>0.23125000000000001</v>
      </c>
      <c r="I29" s="83">
        <v>0.10625</v>
      </c>
      <c r="J29" s="85"/>
    </row>
    <row r="30" spans="1:10">
      <c r="A30" s="103"/>
      <c r="B30" s="15" t="s">
        <v>50</v>
      </c>
      <c r="C30" s="17"/>
      <c r="D30" s="101"/>
      <c r="E30" s="2">
        <v>2.5</v>
      </c>
      <c r="F30" s="2">
        <v>1.2</v>
      </c>
      <c r="G30" s="2">
        <v>3.7</v>
      </c>
      <c r="H30" s="80">
        <v>0.3125</v>
      </c>
      <c r="I30" s="83">
        <v>0.15</v>
      </c>
      <c r="J30" s="85"/>
    </row>
    <row r="31" spans="1:10" ht="15.75" thickBot="1">
      <c r="A31" s="104"/>
      <c r="B31" s="27" t="s">
        <v>51</v>
      </c>
      <c r="C31" s="26"/>
      <c r="D31" s="102"/>
      <c r="E31" s="28">
        <v>2.5</v>
      </c>
      <c r="F31" s="28">
        <v>1.2</v>
      </c>
      <c r="G31" s="28">
        <v>3.7</v>
      </c>
      <c r="H31" s="81">
        <v>0.3125</v>
      </c>
      <c r="I31" s="84">
        <v>0.15</v>
      </c>
      <c r="J31" s="85"/>
    </row>
    <row r="32" spans="1:10" ht="15.75" thickBot="1">
      <c r="A32" s="96" t="s">
        <v>52</v>
      </c>
      <c r="B32" s="97"/>
      <c r="C32" s="97"/>
      <c r="D32" s="97"/>
      <c r="E32" s="97"/>
      <c r="F32" s="97"/>
      <c r="G32" s="97"/>
      <c r="H32" s="97"/>
      <c r="I32" s="97"/>
      <c r="J32" s="88" t="s">
        <v>12</v>
      </c>
    </row>
    <row r="33" spans="1:10" ht="30">
      <c r="A33" s="98" t="s">
        <v>53</v>
      </c>
      <c r="B33" s="55" t="s">
        <v>54</v>
      </c>
      <c r="C33" s="55" t="s">
        <v>55</v>
      </c>
      <c r="D33" s="23" t="s">
        <v>56</v>
      </c>
      <c r="E33" s="24">
        <v>2.1</v>
      </c>
      <c r="F33" s="24">
        <v>0.9</v>
      </c>
      <c r="G33" s="24">
        <v>3</v>
      </c>
      <c r="H33" s="79">
        <v>0.34375</v>
      </c>
      <c r="I33" s="82">
        <v>0.16875000000000001</v>
      </c>
      <c r="J33" s="85"/>
    </row>
    <row r="34" spans="1:10" ht="30">
      <c r="A34" s="99"/>
      <c r="B34" s="5" t="s">
        <v>57</v>
      </c>
      <c r="C34" s="5" t="s">
        <v>58</v>
      </c>
      <c r="D34" s="17" t="s">
        <v>56</v>
      </c>
      <c r="E34" s="2">
        <v>2.1</v>
      </c>
      <c r="F34" s="2">
        <v>0.9</v>
      </c>
      <c r="G34" s="2">
        <v>3</v>
      </c>
      <c r="H34" s="80">
        <v>0.34375</v>
      </c>
      <c r="I34" s="83">
        <v>0.16875000000000001</v>
      </c>
      <c r="J34" s="85"/>
    </row>
    <row r="35" spans="1:10">
      <c r="A35" s="56" t="s">
        <v>59</v>
      </c>
      <c r="B35" s="14" t="s">
        <v>60</v>
      </c>
      <c r="C35" s="5"/>
      <c r="D35" s="17" t="s">
        <v>56</v>
      </c>
      <c r="E35" s="2">
        <v>2.5</v>
      </c>
      <c r="F35" s="2">
        <v>1.2</v>
      </c>
      <c r="G35" s="2">
        <v>3.7</v>
      </c>
      <c r="H35" s="80">
        <v>0.3125</v>
      </c>
      <c r="I35" s="83">
        <v>0.15</v>
      </c>
      <c r="J35" s="85"/>
    </row>
    <row r="36" spans="1:10">
      <c r="A36" s="56" t="s">
        <v>57</v>
      </c>
      <c r="B36" s="5" t="s">
        <v>57</v>
      </c>
      <c r="C36" s="5"/>
      <c r="D36" s="17" t="s">
        <v>56</v>
      </c>
      <c r="E36" s="2">
        <v>2.75</v>
      </c>
      <c r="F36" s="2">
        <v>1.35</v>
      </c>
      <c r="G36" s="2">
        <v>4.0999999999999996</v>
      </c>
      <c r="H36" s="80">
        <v>0.34375</v>
      </c>
      <c r="I36" s="83">
        <v>0.16875000000000001</v>
      </c>
      <c r="J36" s="85"/>
    </row>
    <row r="37" spans="1:10">
      <c r="A37" s="56" t="s">
        <v>54</v>
      </c>
      <c r="B37" s="5" t="s">
        <v>54</v>
      </c>
      <c r="C37" s="5"/>
      <c r="D37" s="17" t="s">
        <v>56</v>
      </c>
      <c r="E37" s="2">
        <v>2.75</v>
      </c>
      <c r="F37" s="2">
        <v>1.35</v>
      </c>
      <c r="G37" s="2">
        <v>4.0999999999999996</v>
      </c>
      <c r="H37" s="80">
        <v>0.34375</v>
      </c>
      <c r="I37" s="83">
        <v>0.16875000000000001</v>
      </c>
      <c r="J37" s="85"/>
    </row>
    <row r="38" spans="1:10">
      <c r="A38" s="56" t="s">
        <v>61</v>
      </c>
      <c r="B38" s="9" t="s">
        <v>62</v>
      </c>
      <c r="C38" s="5"/>
      <c r="D38" s="17" t="s">
        <v>56</v>
      </c>
      <c r="E38" s="2">
        <v>2.75</v>
      </c>
      <c r="F38" s="2">
        <v>1.35</v>
      </c>
      <c r="G38" s="2">
        <v>4.0999999999999996</v>
      </c>
      <c r="H38" s="80">
        <v>0.34375</v>
      </c>
      <c r="I38" s="83">
        <v>0.16875000000000001</v>
      </c>
      <c r="J38" s="85"/>
    </row>
    <row r="39" spans="1:10">
      <c r="A39" s="56" t="s">
        <v>63</v>
      </c>
      <c r="B39" s="5" t="s">
        <v>63</v>
      </c>
      <c r="C39" s="5"/>
      <c r="D39" s="17" t="s">
        <v>56</v>
      </c>
      <c r="E39" s="2">
        <v>2.75</v>
      </c>
      <c r="F39" s="2">
        <v>1.35</v>
      </c>
      <c r="G39" s="2">
        <v>4.0999999999999996</v>
      </c>
      <c r="H39" s="80">
        <v>0.34375</v>
      </c>
      <c r="I39" s="83">
        <v>0.16875000000000001</v>
      </c>
      <c r="J39" s="85"/>
    </row>
    <row r="40" spans="1:10" ht="15.75" thickBot="1">
      <c r="A40" s="57" t="s">
        <v>64</v>
      </c>
      <c r="B40" s="58" t="s">
        <v>64</v>
      </c>
      <c r="C40" s="58"/>
      <c r="D40" s="26" t="s">
        <v>56</v>
      </c>
      <c r="E40" s="28">
        <v>2.75</v>
      </c>
      <c r="F40" s="28">
        <v>1.35</v>
      </c>
      <c r="G40" s="28">
        <v>4.0999999999999996</v>
      </c>
      <c r="H40" s="81">
        <v>0.34375</v>
      </c>
      <c r="I40" s="84">
        <v>0.16875000000000001</v>
      </c>
      <c r="J40" s="85"/>
    </row>
    <row r="41" spans="1:10" ht="30">
      <c r="A41" s="98" t="s">
        <v>53</v>
      </c>
      <c r="B41" s="55" t="s">
        <v>54</v>
      </c>
      <c r="C41" s="55" t="s">
        <v>55</v>
      </c>
      <c r="D41" s="23" t="s">
        <v>65</v>
      </c>
      <c r="E41" s="24">
        <v>2.1</v>
      </c>
      <c r="F41" s="24">
        <v>0.9</v>
      </c>
      <c r="G41" s="24">
        <v>3</v>
      </c>
      <c r="H41" s="79">
        <v>0.1875</v>
      </c>
      <c r="I41" s="82">
        <v>6.25E-2</v>
      </c>
      <c r="J41" s="85"/>
    </row>
    <row r="42" spans="1:10" ht="30">
      <c r="A42" s="99"/>
      <c r="B42" s="5" t="s">
        <v>57</v>
      </c>
      <c r="C42" s="5" t="s">
        <v>58</v>
      </c>
      <c r="D42" s="17" t="s">
        <v>65</v>
      </c>
      <c r="E42" s="2">
        <v>2.1</v>
      </c>
      <c r="F42" s="2">
        <v>0.9</v>
      </c>
      <c r="G42" s="2">
        <v>3</v>
      </c>
      <c r="H42" s="80">
        <v>0.1875</v>
      </c>
      <c r="I42" s="83">
        <v>6.25E-2</v>
      </c>
      <c r="J42" s="85"/>
    </row>
    <row r="43" spans="1:10">
      <c r="A43" s="56" t="s">
        <v>59</v>
      </c>
      <c r="B43" s="14" t="s">
        <v>60</v>
      </c>
      <c r="C43" s="5"/>
      <c r="D43" s="17" t="s">
        <v>65</v>
      </c>
      <c r="E43" s="2">
        <v>2.5</v>
      </c>
      <c r="F43" s="2">
        <v>1.2</v>
      </c>
      <c r="G43" s="2">
        <v>3.7</v>
      </c>
      <c r="H43" s="80">
        <v>0.1875</v>
      </c>
      <c r="I43" s="83">
        <v>6.25E-2</v>
      </c>
      <c r="J43" s="85"/>
    </row>
    <row r="44" spans="1:10">
      <c r="A44" s="56" t="s">
        <v>57</v>
      </c>
      <c r="B44" s="5" t="s">
        <v>57</v>
      </c>
      <c r="C44" s="5"/>
      <c r="D44" s="17" t="s">
        <v>65</v>
      </c>
      <c r="E44" s="2">
        <v>2.75</v>
      </c>
      <c r="F44" s="2">
        <v>1.35</v>
      </c>
      <c r="G44" s="2">
        <v>4.0999999999999996</v>
      </c>
      <c r="H44" s="80">
        <v>0.1875</v>
      </c>
      <c r="I44" s="83">
        <v>6.25E-2</v>
      </c>
      <c r="J44" s="85"/>
    </row>
    <row r="45" spans="1:10">
      <c r="A45" s="56" t="s">
        <v>54</v>
      </c>
      <c r="B45" s="5" t="s">
        <v>54</v>
      </c>
      <c r="C45" s="5"/>
      <c r="D45" s="17" t="s">
        <v>65</v>
      </c>
      <c r="E45" s="2">
        <v>2.75</v>
      </c>
      <c r="F45" s="2">
        <v>1.35</v>
      </c>
      <c r="G45" s="2">
        <v>4.0999999999999996</v>
      </c>
      <c r="H45" s="80">
        <v>0.1875</v>
      </c>
      <c r="I45" s="83">
        <v>6.25E-2</v>
      </c>
      <c r="J45" s="85"/>
    </row>
    <row r="46" spans="1:10">
      <c r="A46" s="56" t="s">
        <v>61</v>
      </c>
      <c r="B46" s="9" t="s">
        <v>62</v>
      </c>
      <c r="C46" s="5"/>
      <c r="D46" s="17" t="s">
        <v>65</v>
      </c>
      <c r="E46" s="2">
        <v>2.75</v>
      </c>
      <c r="F46" s="2">
        <v>1.35</v>
      </c>
      <c r="G46" s="2">
        <v>4.0999999999999996</v>
      </c>
      <c r="H46" s="80">
        <v>0.1875</v>
      </c>
      <c r="I46" s="83">
        <v>6.25E-2</v>
      </c>
      <c r="J46" s="85"/>
    </row>
    <row r="47" spans="1:10">
      <c r="A47" s="56" t="s">
        <v>63</v>
      </c>
      <c r="B47" s="5" t="s">
        <v>63</v>
      </c>
      <c r="C47" s="5"/>
      <c r="D47" s="17" t="s">
        <v>65</v>
      </c>
      <c r="E47" s="2">
        <v>2.75</v>
      </c>
      <c r="F47" s="2">
        <v>1.35</v>
      </c>
      <c r="G47" s="2">
        <v>4.0999999999999996</v>
      </c>
      <c r="H47" s="80">
        <v>0.1875</v>
      </c>
      <c r="I47" s="83">
        <v>6.25E-2</v>
      </c>
      <c r="J47" s="85"/>
    </row>
    <row r="48" spans="1:10" ht="15.75" thickBot="1">
      <c r="A48" s="57" t="s">
        <v>64</v>
      </c>
      <c r="B48" s="58" t="s">
        <v>64</v>
      </c>
      <c r="C48" s="58"/>
      <c r="D48" s="26" t="s">
        <v>65</v>
      </c>
      <c r="E48" s="28">
        <v>2.75</v>
      </c>
      <c r="F48" s="28">
        <v>1.35</v>
      </c>
      <c r="G48" s="28">
        <v>4.0999999999999996</v>
      </c>
      <c r="H48" s="81">
        <v>0.1875</v>
      </c>
      <c r="I48" s="84">
        <v>6.25E-2</v>
      </c>
      <c r="J48" s="85"/>
    </row>
  </sheetData>
  <mergeCells count="17">
    <mergeCell ref="I1:I2"/>
    <mergeCell ref="J1:J2"/>
    <mergeCell ref="A3:I3"/>
    <mergeCell ref="A1:A2"/>
    <mergeCell ref="B1:D1"/>
    <mergeCell ref="E1:E2"/>
    <mergeCell ref="F1:F2"/>
    <mergeCell ref="G1:G2"/>
    <mergeCell ref="H1:H2"/>
    <mergeCell ref="A32:I32"/>
    <mergeCell ref="A33:A34"/>
    <mergeCell ref="A41:A42"/>
    <mergeCell ref="D4:D31"/>
    <mergeCell ref="A5:A12"/>
    <mergeCell ref="A18:A20"/>
    <mergeCell ref="A21:A24"/>
    <mergeCell ref="A25:A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8"/>
  <sheetViews>
    <sheetView zoomScaleNormal="100" workbookViewId="0">
      <pane ySplit="2" topLeftCell="A21" activePane="bottomLeft" state="frozen"/>
      <selection pane="bottomLeft" activeCell="J21" sqref="J21:J38"/>
      <selection activeCell="C2" sqref="C2"/>
    </sheetView>
  </sheetViews>
  <sheetFormatPr defaultRowHeight="15"/>
  <cols>
    <col min="1" max="1" width="40.42578125" customWidth="1"/>
    <col min="2" max="2" width="15.42578125" customWidth="1"/>
    <col min="3" max="3" width="34.7109375" bestFit="1" customWidth="1"/>
    <col min="4" max="4" width="17.140625" bestFit="1" customWidth="1"/>
    <col min="5" max="5" width="19.7109375" customWidth="1"/>
    <col min="6" max="6" width="18.42578125" customWidth="1"/>
    <col min="7" max="7" width="19.5703125" customWidth="1"/>
    <col min="8" max="8" width="22.42578125" customWidth="1"/>
    <col min="9" max="9" width="12.85546875" style="6" customWidth="1"/>
  </cols>
  <sheetData>
    <row r="1" spans="1:10" ht="15" customHeight="1">
      <c r="A1" s="109" t="s">
        <v>0</v>
      </c>
      <c r="B1" s="111" t="s">
        <v>1</v>
      </c>
      <c r="C1" s="111"/>
      <c r="D1" s="111"/>
      <c r="E1" s="107" t="s">
        <v>66</v>
      </c>
      <c r="F1" s="107" t="s">
        <v>67</v>
      </c>
      <c r="G1" s="107" t="s">
        <v>68</v>
      </c>
      <c r="H1" s="107" t="s">
        <v>69</v>
      </c>
      <c r="I1" s="107" t="s">
        <v>70</v>
      </c>
      <c r="J1" s="109" t="s">
        <v>71</v>
      </c>
    </row>
    <row r="2" spans="1:10" ht="15.75" thickBot="1">
      <c r="A2" s="110"/>
      <c r="B2" s="78" t="s">
        <v>8</v>
      </c>
      <c r="C2" s="78" t="s">
        <v>9</v>
      </c>
      <c r="D2" s="78" t="s">
        <v>72</v>
      </c>
      <c r="E2" s="108"/>
      <c r="F2" s="108"/>
      <c r="G2" s="108"/>
      <c r="H2" s="108"/>
      <c r="I2" s="108"/>
      <c r="J2" s="110"/>
    </row>
    <row r="3" spans="1:10" ht="30">
      <c r="A3" s="72" t="s">
        <v>73</v>
      </c>
      <c r="B3" s="55" t="s">
        <v>57</v>
      </c>
      <c r="C3" s="55" t="s">
        <v>58</v>
      </c>
      <c r="D3" s="55" t="s">
        <v>74</v>
      </c>
      <c r="E3" s="24">
        <v>4</v>
      </c>
      <c r="F3" s="24">
        <f>E3*75%</f>
        <v>3</v>
      </c>
      <c r="G3" s="24">
        <f>E3*25%</f>
        <v>1</v>
      </c>
      <c r="H3" s="24">
        <v>0.5</v>
      </c>
      <c r="I3" s="65" t="s">
        <v>75</v>
      </c>
      <c r="J3" s="118" t="s">
        <v>76</v>
      </c>
    </row>
    <row r="4" spans="1:10">
      <c r="A4" s="73" t="s">
        <v>77</v>
      </c>
      <c r="B4" s="5" t="s">
        <v>54</v>
      </c>
      <c r="C4" s="5" t="s">
        <v>55</v>
      </c>
      <c r="D4" s="5" t="s">
        <v>74</v>
      </c>
      <c r="E4" s="66">
        <v>8.5</v>
      </c>
      <c r="F4" s="66">
        <f>E4*75%</f>
        <v>6.375</v>
      </c>
      <c r="G4" s="66">
        <f>E4*25%</f>
        <v>2.125</v>
      </c>
      <c r="H4" s="66">
        <v>1.5</v>
      </c>
      <c r="I4" s="68" t="s">
        <v>75</v>
      </c>
      <c r="J4" s="119"/>
    </row>
    <row r="5" spans="1:10">
      <c r="A5" s="56" t="s">
        <v>59</v>
      </c>
      <c r="B5" s="7" t="s">
        <v>60</v>
      </c>
      <c r="C5" s="8"/>
      <c r="D5" s="5" t="s">
        <v>74</v>
      </c>
      <c r="E5" s="2">
        <v>12</v>
      </c>
      <c r="F5" s="2">
        <f t="shared" ref="F5:F13" si="0">E5*75%</f>
        <v>9</v>
      </c>
      <c r="G5" s="2">
        <f t="shared" ref="G5:G13" si="1">E5*25%</f>
        <v>3</v>
      </c>
      <c r="H5" s="2">
        <v>3.5</v>
      </c>
      <c r="I5" s="59" t="s">
        <v>75</v>
      </c>
      <c r="J5" s="119"/>
    </row>
    <row r="6" spans="1:10" ht="30">
      <c r="A6" s="56" t="s">
        <v>57</v>
      </c>
      <c r="B6" s="5" t="s">
        <v>57</v>
      </c>
      <c r="C6" s="1"/>
      <c r="D6" s="5" t="s">
        <v>74</v>
      </c>
      <c r="E6" s="2">
        <v>14.5</v>
      </c>
      <c r="F6" s="2">
        <f t="shared" si="0"/>
        <v>10.875</v>
      </c>
      <c r="G6" s="2">
        <f t="shared" si="1"/>
        <v>3.625</v>
      </c>
      <c r="H6" s="2">
        <v>4</v>
      </c>
      <c r="I6" s="59" t="s">
        <v>75</v>
      </c>
      <c r="J6" s="119"/>
    </row>
    <row r="7" spans="1:10">
      <c r="A7" s="56" t="s">
        <v>54</v>
      </c>
      <c r="B7" s="5" t="s">
        <v>54</v>
      </c>
      <c r="C7" s="1"/>
      <c r="D7" s="5" t="s">
        <v>74</v>
      </c>
      <c r="E7" s="2">
        <v>16.5</v>
      </c>
      <c r="F7" s="2">
        <f t="shared" si="0"/>
        <v>12.375</v>
      </c>
      <c r="G7" s="2">
        <f t="shared" si="1"/>
        <v>4.125</v>
      </c>
      <c r="H7" s="2">
        <v>4</v>
      </c>
      <c r="I7" s="59" t="s">
        <v>75</v>
      </c>
      <c r="J7" s="119"/>
    </row>
    <row r="8" spans="1:10">
      <c r="A8" s="56" t="s">
        <v>61</v>
      </c>
      <c r="B8" s="9" t="s">
        <v>62</v>
      </c>
      <c r="C8" s="5"/>
      <c r="D8" s="5" t="s">
        <v>74</v>
      </c>
      <c r="E8" s="2">
        <v>13.5</v>
      </c>
      <c r="F8" s="2">
        <f t="shared" si="0"/>
        <v>10.125</v>
      </c>
      <c r="G8" s="2">
        <f t="shared" si="1"/>
        <v>3.375</v>
      </c>
      <c r="H8" s="2">
        <v>3.5</v>
      </c>
      <c r="I8" s="59" t="s">
        <v>75</v>
      </c>
      <c r="J8" s="119"/>
    </row>
    <row r="9" spans="1:10" ht="30">
      <c r="A9" s="56" t="s">
        <v>63</v>
      </c>
      <c r="B9" s="5" t="s">
        <v>63</v>
      </c>
      <c r="C9" s="1"/>
      <c r="D9" s="5" t="s">
        <v>74</v>
      </c>
      <c r="E9" s="2">
        <v>20.5</v>
      </c>
      <c r="F9" s="2">
        <f t="shared" si="0"/>
        <v>15.375</v>
      </c>
      <c r="G9" s="2">
        <f t="shared" si="1"/>
        <v>5.125</v>
      </c>
      <c r="H9" s="2">
        <v>4</v>
      </c>
      <c r="I9" s="59" t="s">
        <v>75</v>
      </c>
      <c r="J9" s="119"/>
    </row>
    <row r="10" spans="1:10">
      <c r="A10" s="56" t="s">
        <v>64</v>
      </c>
      <c r="B10" s="5" t="s">
        <v>64</v>
      </c>
      <c r="C10" s="1"/>
      <c r="D10" s="5" t="s">
        <v>74</v>
      </c>
      <c r="E10" s="2">
        <v>28.5</v>
      </c>
      <c r="F10" s="2">
        <f t="shared" si="0"/>
        <v>21.375</v>
      </c>
      <c r="G10" s="2">
        <f t="shared" si="1"/>
        <v>7.125</v>
      </c>
      <c r="H10" s="2">
        <v>13</v>
      </c>
      <c r="I10" s="59" t="s">
        <v>75</v>
      </c>
      <c r="J10" s="119"/>
    </row>
    <row r="11" spans="1:10" ht="15.75" thickBot="1">
      <c r="A11" s="57" t="s">
        <v>78</v>
      </c>
      <c r="B11" s="116" t="s">
        <v>79</v>
      </c>
      <c r="C11" s="117"/>
      <c r="D11" s="58" t="s">
        <v>74</v>
      </c>
      <c r="E11" s="28">
        <v>10.5</v>
      </c>
      <c r="F11" s="28">
        <f t="shared" si="0"/>
        <v>7.875</v>
      </c>
      <c r="G11" s="28">
        <f t="shared" si="1"/>
        <v>2.625</v>
      </c>
      <c r="H11" s="28">
        <v>3.5</v>
      </c>
      <c r="I11" s="60" t="s">
        <v>75</v>
      </c>
      <c r="J11" s="119"/>
    </row>
    <row r="12" spans="1:10" ht="30">
      <c r="A12" s="72" t="s">
        <v>73</v>
      </c>
      <c r="B12" s="55" t="s">
        <v>57</v>
      </c>
      <c r="C12" s="55" t="s">
        <v>58</v>
      </c>
      <c r="D12" s="55" t="s">
        <v>80</v>
      </c>
      <c r="E12" s="24">
        <v>6</v>
      </c>
      <c r="F12" s="24">
        <f t="shared" si="0"/>
        <v>4.5</v>
      </c>
      <c r="G12" s="24">
        <f t="shared" si="1"/>
        <v>1.5</v>
      </c>
      <c r="H12" s="24">
        <v>0.5</v>
      </c>
      <c r="I12" s="65" t="s">
        <v>75</v>
      </c>
      <c r="J12" s="119"/>
    </row>
    <row r="13" spans="1:10" ht="15" customHeight="1">
      <c r="A13" s="73" t="s">
        <v>77</v>
      </c>
      <c r="B13" s="5" t="s">
        <v>54</v>
      </c>
      <c r="C13" s="5" t="s">
        <v>55</v>
      </c>
      <c r="D13" s="5" t="s">
        <v>80</v>
      </c>
      <c r="E13" s="66">
        <v>10.5</v>
      </c>
      <c r="F13" s="66">
        <f t="shared" si="0"/>
        <v>7.875</v>
      </c>
      <c r="G13" s="66">
        <f t="shared" si="1"/>
        <v>2.625</v>
      </c>
      <c r="H13" s="66">
        <v>1.5</v>
      </c>
      <c r="I13" s="68" t="s">
        <v>75</v>
      </c>
      <c r="J13" s="119"/>
    </row>
    <row r="14" spans="1:10">
      <c r="A14" s="56" t="s">
        <v>59</v>
      </c>
      <c r="B14" s="7" t="s">
        <v>60</v>
      </c>
      <c r="C14" s="8"/>
      <c r="D14" s="5" t="s">
        <v>80</v>
      </c>
      <c r="E14" s="2">
        <v>14</v>
      </c>
      <c r="F14" s="2">
        <f t="shared" ref="F14:F22" si="2">E14*75%</f>
        <v>10.5</v>
      </c>
      <c r="G14" s="2">
        <f t="shared" ref="G14:G22" si="3">E14*25%</f>
        <v>3.5</v>
      </c>
      <c r="H14" s="2">
        <v>3.5</v>
      </c>
      <c r="I14" s="59" t="s">
        <v>75</v>
      </c>
      <c r="J14" s="119"/>
    </row>
    <row r="15" spans="1:10" ht="30">
      <c r="A15" s="56" t="s">
        <v>57</v>
      </c>
      <c r="B15" s="5" t="s">
        <v>57</v>
      </c>
      <c r="C15" s="1"/>
      <c r="D15" s="5" t="s">
        <v>80</v>
      </c>
      <c r="E15" s="2">
        <v>16.5</v>
      </c>
      <c r="F15" s="2">
        <f t="shared" si="2"/>
        <v>12.375</v>
      </c>
      <c r="G15" s="2">
        <f t="shared" si="3"/>
        <v>4.125</v>
      </c>
      <c r="H15" s="2">
        <v>4</v>
      </c>
      <c r="I15" s="59" t="s">
        <v>75</v>
      </c>
      <c r="J15" s="119"/>
    </row>
    <row r="16" spans="1:10">
      <c r="A16" s="56" t="s">
        <v>54</v>
      </c>
      <c r="B16" s="5" t="s">
        <v>54</v>
      </c>
      <c r="C16" s="1"/>
      <c r="D16" s="5" t="s">
        <v>80</v>
      </c>
      <c r="E16" s="2">
        <v>18.5</v>
      </c>
      <c r="F16" s="2">
        <f t="shared" si="2"/>
        <v>13.875</v>
      </c>
      <c r="G16" s="2">
        <f t="shared" si="3"/>
        <v>4.625</v>
      </c>
      <c r="H16" s="2">
        <v>4</v>
      </c>
      <c r="I16" s="59" t="s">
        <v>75</v>
      </c>
      <c r="J16" s="119"/>
    </row>
    <row r="17" spans="1:10">
      <c r="A17" s="56" t="s">
        <v>61</v>
      </c>
      <c r="B17" s="9" t="s">
        <v>62</v>
      </c>
      <c r="C17" s="5"/>
      <c r="D17" s="5" t="s">
        <v>80</v>
      </c>
      <c r="E17" s="2">
        <v>15.5</v>
      </c>
      <c r="F17" s="2">
        <f t="shared" si="2"/>
        <v>11.625</v>
      </c>
      <c r="G17" s="2">
        <f t="shared" si="3"/>
        <v>3.875</v>
      </c>
      <c r="H17" s="2">
        <v>3.5</v>
      </c>
      <c r="I17" s="59" t="s">
        <v>75</v>
      </c>
      <c r="J17" s="119"/>
    </row>
    <row r="18" spans="1:10" ht="30">
      <c r="A18" s="56" t="s">
        <v>63</v>
      </c>
      <c r="B18" s="5" t="s">
        <v>63</v>
      </c>
      <c r="C18" s="1"/>
      <c r="D18" s="5" t="s">
        <v>80</v>
      </c>
      <c r="E18" s="2">
        <v>22.5</v>
      </c>
      <c r="F18" s="2">
        <f t="shared" si="2"/>
        <v>16.875</v>
      </c>
      <c r="G18" s="2">
        <f t="shared" si="3"/>
        <v>5.625</v>
      </c>
      <c r="H18" s="2">
        <v>4</v>
      </c>
      <c r="I18" s="59" t="s">
        <v>75</v>
      </c>
      <c r="J18" s="119"/>
    </row>
    <row r="19" spans="1:10">
      <c r="A19" s="56" t="s">
        <v>64</v>
      </c>
      <c r="B19" s="5" t="s">
        <v>64</v>
      </c>
      <c r="C19" s="1"/>
      <c r="D19" s="5" t="s">
        <v>80</v>
      </c>
      <c r="E19" s="2">
        <v>30.5</v>
      </c>
      <c r="F19" s="2">
        <f t="shared" si="2"/>
        <v>22.875</v>
      </c>
      <c r="G19" s="2">
        <f t="shared" si="3"/>
        <v>7.625</v>
      </c>
      <c r="H19" s="2">
        <v>13</v>
      </c>
      <c r="I19" s="59" t="s">
        <v>75</v>
      </c>
      <c r="J19" s="119"/>
    </row>
    <row r="20" spans="1:10" ht="15.75" thickBot="1">
      <c r="A20" s="57" t="s">
        <v>78</v>
      </c>
      <c r="B20" s="116" t="s">
        <v>79</v>
      </c>
      <c r="C20" s="117"/>
      <c r="D20" s="58" t="s">
        <v>80</v>
      </c>
      <c r="E20" s="28">
        <v>12.5</v>
      </c>
      <c r="F20" s="28">
        <f t="shared" si="2"/>
        <v>9.375</v>
      </c>
      <c r="G20" s="28">
        <f t="shared" si="3"/>
        <v>3.125</v>
      </c>
      <c r="H20" s="28">
        <v>3.5</v>
      </c>
      <c r="I20" s="60" t="s">
        <v>75</v>
      </c>
      <c r="J20" s="120"/>
    </row>
    <row r="21" spans="1:10" ht="30">
      <c r="A21" s="74" t="s">
        <v>73</v>
      </c>
      <c r="B21" s="61" t="s">
        <v>57</v>
      </c>
      <c r="C21" s="61" t="s">
        <v>58</v>
      </c>
      <c r="D21" s="61" t="s">
        <v>74</v>
      </c>
      <c r="E21" s="32">
        <v>4</v>
      </c>
      <c r="F21" s="32">
        <f t="shared" si="2"/>
        <v>3</v>
      </c>
      <c r="G21" s="32">
        <f t="shared" si="3"/>
        <v>1</v>
      </c>
      <c r="H21" s="32">
        <v>0</v>
      </c>
      <c r="I21" s="91" t="s">
        <v>81</v>
      </c>
      <c r="J21" s="113" t="s">
        <v>82</v>
      </c>
    </row>
    <row r="22" spans="1:10" ht="15" customHeight="1">
      <c r="A22" s="75" t="s">
        <v>77</v>
      </c>
      <c r="B22" s="10" t="s">
        <v>54</v>
      </c>
      <c r="C22" s="10" t="s">
        <v>55</v>
      </c>
      <c r="D22" s="10" t="s">
        <v>74</v>
      </c>
      <c r="E22" s="67">
        <v>9</v>
      </c>
      <c r="F22" s="67">
        <f t="shared" si="2"/>
        <v>6.75</v>
      </c>
      <c r="G22" s="67">
        <f t="shared" si="3"/>
        <v>2.25</v>
      </c>
      <c r="H22" s="67">
        <v>0</v>
      </c>
      <c r="I22" s="92" t="s">
        <v>81</v>
      </c>
      <c r="J22" s="114"/>
    </row>
    <row r="23" spans="1:10">
      <c r="A23" s="62" t="s">
        <v>59</v>
      </c>
      <c r="B23" s="11" t="s">
        <v>60</v>
      </c>
      <c r="C23" s="12"/>
      <c r="D23" s="10" t="s">
        <v>74</v>
      </c>
      <c r="E23" s="4">
        <v>12</v>
      </c>
      <c r="F23" s="4">
        <f>E23*75%</f>
        <v>9</v>
      </c>
      <c r="G23" s="4">
        <f>E23*25%</f>
        <v>3</v>
      </c>
      <c r="H23" s="4">
        <v>0</v>
      </c>
      <c r="I23" s="93" t="s">
        <v>81</v>
      </c>
      <c r="J23" s="114"/>
    </row>
    <row r="24" spans="1:10" ht="30">
      <c r="A24" s="62" t="s">
        <v>57</v>
      </c>
      <c r="B24" s="10" t="s">
        <v>57</v>
      </c>
      <c r="C24" s="3"/>
      <c r="D24" s="10" t="s">
        <v>74</v>
      </c>
      <c r="E24" s="4">
        <v>16.5</v>
      </c>
      <c r="F24" s="4">
        <f>E24*75%</f>
        <v>12.375</v>
      </c>
      <c r="G24" s="4">
        <f>E24*25%</f>
        <v>4.125</v>
      </c>
      <c r="H24" s="4">
        <v>0</v>
      </c>
      <c r="I24" s="93" t="s">
        <v>81</v>
      </c>
      <c r="J24" s="114"/>
    </row>
    <row r="25" spans="1:10">
      <c r="A25" s="62" t="s">
        <v>54</v>
      </c>
      <c r="B25" s="10" t="s">
        <v>54</v>
      </c>
      <c r="C25" s="3"/>
      <c r="D25" s="10" t="s">
        <v>74</v>
      </c>
      <c r="E25" s="4">
        <v>20.5</v>
      </c>
      <c r="F25" s="4">
        <f>75%*E25</f>
        <v>15.375</v>
      </c>
      <c r="G25" s="4">
        <f>25%*E25</f>
        <v>5.125</v>
      </c>
      <c r="H25" s="4">
        <v>0</v>
      </c>
      <c r="I25" s="93" t="s">
        <v>81</v>
      </c>
      <c r="J25" s="114"/>
    </row>
    <row r="26" spans="1:10" ht="30.75" customHeight="1">
      <c r="A26" s="62" t="s">
        <v>61</v>
      </c>
      <c r="B26" s="10" t="s">
        <v>62</v>
      </c>
      <c r="C26" s="10"/>
      <c r="D26" s="10" t="s">
        <v>74</v>
      </c>
      <c r="E26" s="4">
        <v>16.5</v>
      </c>
      <c r="F26" s="4">
        <f t="shared" ref="F26" si="4">75%*E26</f>
        <v>12.375</v>
      </c>
      <c r="G26" s="4">
        <f t="shared" ref="G26" si="5">25%*E26</f>
        <v>4.125</v>
      </c>
      <c r="H26" s="4">
        <v>0</v>
      </c>
      <c r="I26" s="93" t="s">
        <v>81</v>
      </c>
      <c r="J26" s="114"/>
    </row>
    <row r="27" spans="1:10" ht="30">
      <c r="A27" s="62" t="s">
        <v>63</v>
      </c>
      <c r="B27" s="10" t="s">
        <v>63</v>
      </c>
      <c r="C27" s="3"/>
      <c r="D27" s="10" t="s">
        <v>74</v>
      </c>
      <c r="E27" s="4">
        <v>22.5</v>
      </c>
      <c r="F27" s="4">
        <f>E27*75%</f>
        <v>16.875</v>
      </c>
      <c r="G27" s="4">
        <f>E27*25%</f>
        <v>5.625</v>
      </c>
      <c r="H27" s="4">
        <v>0</v>
      </c>
      <c r="I27" s="93" t="s">
        <v>81</v>
      </c>
      <c r="J27" s="114"/>
    </row>
    <row r="28" spans="1:10">
      <c r="A28" s="62" t="s">
        <v>64</v>
      </c>
      <c r="B28" s="10" t="s">
        <v>64</v>
      </c>
      <c r="C28" s="3"/>
      <c r="D28" s="10" t="s">
        <v>74</v>
      </c>
      <c r="E28" s="4">
        <v>40.5</v>
      </c>
      <c r="F28" s="4">
        <f>E28*75%</f>
        <v>30.375</v>
      </c>
      <c r="G28" s="4">
        <f>E28*25%</f>
        <v>10.125</v>
      </c>
      <c r="H28" s="4">
        <v>0</v>
      </c>
      <c r="I28" s="93" t="s">
        <v>81</v>
      </c>
      <c r="J28" s="114"/>
    </row>
    <row r="29" spans="1:10" ht="15.75" thickBot="1">
      <c r="A29" s="63" t="s">
        <v>78</v>
      </c>
      <c r="B29" s="112" t="s">
        <v>79</v>
      </c>
      <c r="C29" s="112"/>
      <c r="D29" s="64" t="s">
        <v>74</v>
      </c>
      <c r="E29" s="36">
        <v>12.5</v>
      </c>
      <c r="F29" s="36">
        <f t="shared" ref="F29" si="6">E29*75%</f>
        <v>9.375</v>
      </c>
      <c r="G29" s="36">
        <f t="shared" ref="G29" si="7">E29*25%</f>
        <v>3.125</v>
      </c>
      <c r="H29" s="36">
        <v>0</v>
      </c>
      <c r="I29" s="94" t="s">
        <v>81</v>
      </c>
      <c r="J29" s="114"/>
    </row>
    <row r="30" spans="1:10" ht="30">
      <c r="A30" s="74" t="s">
        <v>73</v>
      </c>
      <c r="B30" s="61" t="s">
        <v>57</v>
      </c>
      <c r="C30" s="61" t="s">
        <v>58</v>
      </c>
      <c r="D30" s="61" t="s">
        <v>80</v>
      </c>
      <c r="E30" s="32">
        <v>6</v>
      </c>
      <c r="F30" s="32">
        <f>E30*75%</f>
        <v>4.5</v>
      </c>
      <c r="G30" s="32">
        <f>E30*25%</f>
        <v>1.5</v>
      </c>
      <c r="H30" s="32">
        <v>0</v>
      </c>
      <c r="I30" s="91" t="s">
        <v>81</v>
      </c>
      <c r="J30" s="114"/>
    </row>
    <row r="31" spans="1:10" ht="15" customHeight="1">
      <c r="A31" s="75" t="s">
        <v>77</v>
      </c>
      <c r="B31" s="10" t="s">
        <v>54</v>
      </c>
      <c r="C31" s="10" t="s">
        <v>55</v>
      </c>
      <c r="D31" s="10" t="s">
        <v>80</v>
      </c>
      <c r="E31" s="67">
        <v>11</v>
      </c>
      <c r="F31" s="67">
        <f>E31*75%</f>
        <v>8.25</v>
      </c>
      <c r="G31" s="67">
        <f>E31*25%</f>
        <v>2.75</v>
      </c>
      <c r="H31" s="67">
        <v>0</v>
      </c>
      <c r="I31" s="92" t="s">
        <v>81</v>
      </c>
      <c r="J31" s="114"/>
    </row>
    <row r="32" spans="1:10">
      <c r="A32" s="62" t="s">
        <v>59</v>
      </c>
      <c r="B32" s="11" t="s">
        <v>60</v>
      </c>
      <c r="C32" s="12"/>
      <c r="D32" s="10" t="s">
        <v>80</v>
      </c>
      <c r="E32" s="4">
        <v>14</v>
      </c>
      <c r="F32" s="4">
        <f>E32*75%</f>
        <v>10.5</v>
      </c>
      <c r="G32" s="4">
        <f>E32*25%</f>
        <v>3.5</v>
      </c>
      <c r="H32" s="4">
        <v>0</v>
      </c>
      <c r="I32" s="93" t="s">
        <v>81</v>
      </c>
      <c r="J32" s="114"/>
    </row>
    <row r="33" spans="1:10" ht="30">
      <c r="A33" s="62" t="s">
        <v>57</v>
      </c>
      <c r="B33" s="10" t="s">
        <v>57</v>
      </c>
      <c r="C33" s="3"/>
      <c r="D33" s="10" t="s">
        <v>80</v>
      </c>
      <c r="E33" s="4">
        <v>18.5</v>
      </c>
      <c r="F33" s="4">
        <f>E33*75%</f>
        <v>13.875</v>
      </c>
      <c r="G33" s="4">
        <f>E33*25%</f>
        <v>4.625</v>
      </c>
      <c r="H33" s="4">
        <v>0</v>
      </c>
      <c r="I33" s="93" t="s">
        <v>81</v>
      </c>
      <c r="J33" s="114"/>
    </row>
    <row r="34" spans="1:10">
      <c r="A34" s="62" t="s">
        <v>54</v>
      </c>
      <c r="B34" s="10" t="s">
        <v>54</v>
      </c>
      <c r="C34" s="3"/>
      <c r="D34" s="10" t="s">
        <v>80</v>
      </c>
      <c r="E34" s="4">
        <v>22.5</v>
      </c>
      <c r="F34" s="4">
        <f>75%*E34</f>
        <v>16.875</v>
      </c>
      <c r="G34" s="4">
        <f>25%*E34</f>
        <v>5.625</v>
      </c>
      <c r="H34" s="4">
        <v>0</v>
      </c>
      <c r="I34" s="93" t="s">
        <v>81</v>
      </c>
      <c r="J34" s="114"/>
    </row>
    <row r="35" spans="1:10" ht="30.75" customHeight="1">
      <c r="A35" s="62" t="s">
        <v>61</v>
      </c>
      <c r="B35" s="10" t="s">
        <v>62</v>
      </c>
      <c r="C35" s="10"/>
      <c r="D35" s="10" t="s">
        <v>80</v>
      </c>
      <c r="E35" s="4">
        <v>18.5</v>
      </c>
      <c r="F35" s="4">
        <f t="shared" ref="F35" si="8">75%*E35</f>
        <v>13.875</v>
      </c>
      <c r="G35" s="4">
        <f t="shared" ref="G35" si="9">25%*E35</f>
        <v>4.625</v>
      </c>
      <c r="H35" s="4">
        <v>0</v>
      </c>
      <c r="I35" s="93" t="s">
        <v>81</v>
      </c>
      <c r="J35" s="114"/>
    </row>
    <row r="36" spans="1:10" ht="30">
      <c r="A36" s="62" t="s">
        <v>63</v>
      </c>
      <c r="B36" s="10" t="s">
        <v>63</v>
      </c>
      <c r="C36" s="3"/>
      <c r="D36" s="10" t="s">
        <v>80</v>
      </c>
      <c r="E36" s="4">
        <v>24.5</v>
      </c>
      <c r="F36" s="4">
        <f>E36*75%</f>
        <v>18.375</v>
      </c>
      <c r="G36" s="4">
        <f>E36*25%</f>
        <v>6.125</v>
      </c>
      <c r="H36" s="4">
        <v>0</v>
      </c>
      <c r="I36" s="93" t="s">
        <v>81</v>
      </c>
      <c r="J36" s="114"/>
    </row>
    <row r="37" spans="1:10">
      <c r="A37" s="62" t="s">
        <v>64</v>
      </c>
      <c r="B37" s="10" t="s">
        <v>64</v>
      </c>
      <c r="C37" s="3"/>
      <c r="D37" s="10" t="s">
        <v>80</v>
      </c>
      <c r="E37" s="4">
        <v>42.5</v>
      </c>
      <c r="F37" s="4">
        <f>E37*75%</f>
        <v>31.875</v>
      </c>
      <c r="G37" s="4">
        <f>E37*25%</f>
        <v>10.625</v>
      </c>
      <c r="H37" s="4">
        <v>0</v>
      </c>
      <c r="I37" s="93" t="s">
        <v>81</v>
      </c>
      <c r="J37" s="114"/>
    </row>
    <row r="38" spans="1:10" ht="15.75" thickBot="1">
      <c r="A38" s="63" t="s">
        <v>78</v>
      </c>
      <c r="B38" s="112" t="s">
        <v>79</v>
      </c>
      <c r="C38" s="112"/>
      <c r="D38" s="64" t="s">
        <v>80</v>
      </c>
      <c r="E38" s="36">
        <v>14.5</v>
      </c>
      <c r="F38" s="36">
        <f t="shared" ref="F38" si="10">E38*75%</f>
        <v>10.875</v>
      </c>
      <c r="G38" s="36">
        <f t="shared" ref="G38" si="11">E38*25%</f>
        <v>3.625</v>
      </c>
      <c r="H38" s="36">
        <v>0</v>
      </c>
      <c r="I38" s="94" t="s">
        <v>81</v>
      </c>
      <c r="J38" s="115"/>
    </row>
  </sheetData>
  <mergeCells count="14">
    <mergeCell ref="A1:A2"/>
    <mergeCell ref="E1:E2"/>
    <mergeCell ref="F1:F2"/>
    <mergeCell ref="B1:D1"/>
    <mergeCell ref="J1:J2"/>
    <mergeCell ref="H1:H2"/>
    <mergeCell ref="I1:I2"/>
    <mergeCell ref="G1:G2"/>
    <mergeCell ref="B38:C38"/>
    <mergeCell ref="B29:C29"/>
    <mergeCell ref="J21:J38"/>
    <mergeCell ref="B20:C20"/>
    <mergeCell ref="J3:J20"/>
    <mergeCell ref="B11:C1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8"/>
  <sheetViews>
    <sheetView zoomScaleNormal="100" workbookViewId="0">
      <pane ySplit="2" topLeftCell="A21" activePane="bottomLeft" state="frozen"/>
      <selection pane="bottomLeft" activeCell="C27" sqref="C27"/>
      <selection activeCell="C2" sqref="C2"/>
    </sheetView>
  </sheetViews>
  <sheetFormatPr defaultRowHeight="15"/>
  <cols>
    <col min="1" max="1" width="40.42578125" customWidth="1"/>
    <col min="2" max="2" width="15.42578125" customWidth="1"/>
    <col min="3" max="3" width="34.7109375" bestFit="1" customWidth="1"/>
    <col min="4" max="4" width="17.140625" bestFit="1" customWidth="1"/>
    <col min="5" max="5" width="19.7109375" customWidth="1"/>
    <col min="6" max="6" width="18.42578125" customWidth="1"/>
    <col min="7" max="7" width="19.5703125" customWidth="1"/>
    <col min="8" max="8" width="22.42578125" customWidth="1"/>
    <col min="9" max="9" width="12.85546875" style="6" customWidth="1"/>
  </cols>
  <sheetData>
    <row r="1" spans="1:10">
      <c r="A1" s="109" t="s">
        <v>0</v>
      </c>
      <c r="B1" s="111" t="s">
        <v>1</v>
      </c>
      <c r="C1" s="111"/>
      <c r="D1" s="111"/>
      <c r="E1" s="107" t="s">
        <v>66</v>
      </c>
      <c r="F1" s="107" t="s">
        <v>67</v>
      </c>
      <c r="G1" s="107" t="s">
        <v>68</v>
      </c>
      <c r="H1" s="107" t="s">
        <v>69</v>
      </c>
      <c r="I1" s="107" t="s">
        <v>70</v>
      </c>
      <c r="J1" s="129" t="s">
        <v>71</v>
      </c>
    </row>
    <row r="2" spans="1:10" ht="15.75" thickBot="1">
      <c r="A2" s="110"/>
      <c r="B2" s="78" t="s">
        <v>8</v>
      </c>
      <c r="C2" s="78" t="s">
        <v>9</v>
      </c>
      <c r="D2" s="78" t="s">
        <v>72</v>
      </c>
      <c r="E2" s="108"/>
      <c r="F2" s="108"/>
      <c r="G2" s="108"/>
      <c r="H2" s="108"/>
      <c r="I2" s="108"/>
      <c r="J2" s="130"/>
    </row>
    <row r="3" spans="1:10">
      <c r="A3" s="131" t="s">
        <v>53</v>
      </c>
      <c r="B3" s="55" t="s">
        <v>54</v>
      </c>
      <c r="C3" s="55" t="s">
        <v>55</v>
      </c>
      <c r="D3" s="55" t="s">
        <v>74</v>
      </c>
      <c r="E3" s="127">
        <v>4</v>
      </c>
      <c r="F3" s="127">
        <f>E3*75%</f>
        <v>3</v>
      </c>
      <c r="G3" s="127">
        <f>E3*25%</f>
        <v>1</v>
      </c>
      <c r="H3" s="127">
        <v>0.5</v>
      </c>
      <c r="I3" s="133" t="s">
        <v>75</v>
      </c>
      <c r="J3" s="118" t="s">
        <v>76</v>
      </c>
    </row>
    <row r="4" spans="1:10" ht="30">
      <c r="A4" s="132"/>
      <c r="B4" s="5" t="s">
        <v>57</v>
      </c>
      <c r="C4" s="5" t="s">
        <v>58</v>
      </c>
      <c r="D4" s="5" t="s">
        <v>74</v>
      </c>
      <c r="E4" s="128"/>
      <c r="F4" s="128"/>
      <c r="G4" s="128"/>
      <c r="H4" s="128"/>
      <c r="I4" s="134"/>
      <c r="J4" s="119"/>
    </row>
    <row r="5" spans="1:10">
      <c r="A5" s="56" t="s">
        <v>59</v>
      </c>
      <c r="B5" s="7" t="s">
        <v>60</v>
      </c>
      <c r="C5" s="8"/>
      <c r="D5" s="5" t="s">
        <v>74</v>
      </c>
      <c r="E5" s="2">
        <v>12</v>
      </c>
      <c r="F5" s="2">
        <f t="shared" ref="F5:F12" si="0">E5*75%</f>
        <v>9</v>
      </c>
      <c r="G5" s="2">
        <f t="shared" ref="G5:G12" si="1">E5*25%</f>
        <v>3</v>
      </c>
      <c r="H5" s="2">
        <v>3.5</v>
      </c>
      <c r="I5" s="59" t="s">
        <v>75</v>
      </c>
      <c r="J5" s="119"/>
    </row>
    <row r="6" spans="1:10" ht="30">
      <c r="A6" s="56" t="s">
        <v>57</v>
      </c>
      <c r="B6" s="5" t="s">
        <v>57</v>
      </c>
      <c r="C6" s="1"/>
      <c r="D6" s="5" t="s">
        <v>74</v>
      </c>
      <c r="E6" s="2">
        <v>14.5</v>
      </c>
      <c r="F6" s="2">
        <f t="shared" si="0"/>
        <v>10.875</v>
      </c>
      <c r="G6" s="2">
        <f t="shared" si="1"/>
        <v>3.625</v>
      </c>
      <c r="H6" s="2">
        <v>4</v>
      </c>
      <c r="I6" s="59" t="s">
        <v>75</v>
      </c>
      <c r="J6" s="119"/>
    </row>
    <row r="7" spans="1:10">
      <c r="A7" s="56" t="s">
        <v>54</v>
      </c>
      <c r="B7" s="5" t="s">
        <v>54</v>
      </c>
      <c r="C7" s="1"/>
      <c r="D7" s="5" t="s">
        <v>74</v>
      </c>
      <c r="E7" s="2">
        <v>16.5</v>
      </c>
      <c r="F7" s="2">
        <f t="shared" si="0"/>
        <v>12.375</v>
      </c>
      <c r="G7" s="2">
        <f t="shared" si="1"/>
        <v>4.125</v>
      </c>
      <c r="H7" s="2">
        <v>4</v>
      </c>
      <c r="I7" s="59" t="s">
        <v>75</v>
      </c>
      <c r="J7" s="119"/>
    </row>
    <row r="8" spans="1:10">
      <c r="A8" s="56" t="s">
        <v>61</v>
      </c>
      <c r="B8" s="9" t="s">
        <v>62</v>
      </c>
      <c r="C8" s="5"/>
      <c r="D8" s="5" t="s">
        <v>74</v>
      </c>
      <c r="E8" s="2">
        <v>13.5</v>
      </c>
      <c r="F8" s="2">
        <f t="shared" si="0"/>
        <v>10.125</v>
      </c>
      <c r="G8" s="2">
        <f t="shared" si="1"/>
        <v>3.375</v>
      </c>
      <c r="H8" s="2">
        <v>3.5</v>
      </c>
      <c r="I8" s="59" t="s">
        <v>75</v>
      </c>
      <c r="J8" s="119"/>
    </row>
    <row r="9" spans="1:10" ht="30">
      <c r="A9" s="56" t="s">
        <v>63</v>
      </c>
      <c r="B9" s="5" t="s">
        <v>63</v>
      </c>
      <c r="C9" s="1"/>
      <c r="D9" s="5" t="s">
        <v>74</v>
      </c>
      <c r="E9" s="2">
        <v>20.5</v>
      </c>
      <c r="F9" s="2">
        <f t="shared" si="0"/>
        <v>15.375</v>
      </c>
      <c r="G9" s="2">
        <f t="shared" si="1"/>
        <v>5.125</v>
      </c>
      <c r="H9" s="2">
        <v>4</v>
      </c>
      <c r="I9" s="59" t="s">
        <v>75</v>
      </c>
      <c r="J9" s="119"/>
    </row>
    <row r="10" spans="1:10">
      <c r="A10" s="56" t="s">
        <v>64</v>
      </c>
      <c r="B10" s="5" t="s">
        <v>64</v>
      </c>
      <c r="C10" s="1"/>
      <c r="D10" s="5" t="s">
        <v>74</v>
      </c>
      <c r="E10" s="2">
        <v>28.5</v>
      </c>
      <c r="F10" s="2">
        <f t="shared" si="0"/>
        <v>21.375</v>
      </c>
      <c r="G10" s="2">
        <f t="shared" si="1"/>
        <v>7.125</v>
      </c>
      <c r="H10" s="2">
        <v>13</v>
      </c>
      <c r="I10" s="59" t="s">
        <v>75</v>
      </c>
      <c r="J10" s="119"/>
    </row>
    <row r="11" spans="1:10" ht="15.75" thickBot="1">
      <c r="A11" s="57" t="s">
        <v>78</v>
      </c>
      <c r="B11" s="116" t="s">
        <v>79</v>
      </c>
      <c r="C11" s="117"/>
      <c r="D11" s="58" t="s">
        <v>74</v>
      </c>
      <c r="E11" s="28">
        <v>10.5</v>
      </c>
      <c r="F11" s="28">
        <f t="shared" si="0"/>
        <v>7.875</v>
      </c>
      <c r="G11" s="28">
        <f t="shared" si="1"/>
        <v>2.625</v>
      </c>
      <c r="H11" s="28">
        <v>3.5</v>
      </c>
      <c r="I11" s="60" t="s">
        <v>75</v>
      </c>
      <c r="J11" s="119"/>
    </row>
    <row r="12" spans="1:10">
      <c r="A12" s="131" t="s">
        <v>53</v>
      </c>
      <c r="B12" s="55" t="s">
        <v>54</v>
      </c>
      <c r="C12" s="55" t="s">
        <v>55</v>
      </c>
      <c r="D12" s="55" t="s">
        <v>80</v>
      </c>
      <c r="E12" s="127">
        <v>6</v>
      </c>
      <c r="F12" s="127">
        <f t="shared" si="0"/>
        <v>4.5</v>
      </c>
      <c r="G12" s="127">
        <f t="shared" si="1"/>
        <v>1.5</v>
      </c>
      <c r="H12" s="127">
        <v>0.5</v>
      </c>
      <c r="I12" s="133" t="s">
        <v>75</v>
      </c>
      <c r="J12" s="119"/>
    </row>
    <row r="13" spans="1:10" ht="30">
      <c r="A13" s="132"/>
      <c r="B13" s="5" t="s">
        <v>57</v>
      </c>
      <c r="C13" s="5" t="s">
        <v>58</v>
      </c>
      <c r="D13" s="5" t="s">
        <v>80</v>
      </c>
      <c r="E13" s="128"/>
      <c r="F13" s="128"/>
      <c r="G13" s="128"/>
      <c r="H13" s="128"/>
      <c r="I13" s="134"/>
      <c r="J13" s="119"/>
    </row>
    <row r="14" spans="1:10">
      <c r="A14" s="56" t="s">
        <v>59</v>
      </c>
      <c r="B14" s="7" t="s">
        <v>60</v>
      </c>
      <c r="C14" s="8"/>
      <c r="D14" s="5" t="s">
        <v>80</v>
      </c>
      <c r="E14" s="2">
        <v>14</v>
      </c>
      <c r="F14" s="2">
        <f t="shared" ref="F14:F21" si="2">E14*75%</f>
        <v>10.5</v>
      </c>
      <c r="G14" s="2">
        <f t="shared" ref="G14:G21" si="3">E14*25%</f>
        <v>3.5</v>
      </c>
      <c r="H14" s="2">
        <v>3.5</v>
      </c>
      <c r="I14" s="59" t="s">
        <v>75</v>
      </c>
      <c r="J14" s="119"/>
    </row>
    <row r="15" spans="1:10" ht="30">
      <c r="A15" s="56" t="s">
        <v>57</v>
      </c>
      <c r="B15" s="5" t="s">
        <v>57</v>
      </c>
      <c r="C15" s="1"/>
      <c r="D15" s="5" t="s">
        <v>80</v>
      </c>
      <c r="E15" s="2">
        <v>16.5</v>
      </c>
      <c r="F15" s="2">
        <f t="shared" si="2"/>
        <v>12.375</v>
      </c>
      <c r="G15" s="2">
        <f t="shared" si="3"/>
        <v>4.125</v>
      </c>
      <c r="H15" s="2">
        <v>4</v>
      </c>
      <c r="I15" s="59" t="s">
        <v>75</v>
      </c>
      <c r="J15" s="119"/>
    </row>
    <row r="16" spans="1:10">
      <c r="A16" s="56" t="s">
        <v>54</v>
      </c>
      <c r="B16" s="5" t="s">
        <v>54</v>
      </c>
      <c r="C16" s="1"/>
      <c r="D16" s="5" t="s">
        <v>80</v>
      </c>
      <c r="E16" s="2">
        <v>18.5</v>
      </c>
      <c r="F16" s="2">
        <f t="shared" si="2"/>
        <v>13.875</v>
      </c>
      <c r="G16" s="2">
        <f t="shared" si="3"/>
        <v>4.625</v>
      </c>
      <c r="H16" s="2">
        <v>4</v>
      </c>
      <c r="I16" s="59" t="s">
        <v>75</v>
      </c>
      <c r="J16" s="119"/>
    </row>
    <row r="17" spans="1:10">
      <c r="A17" s="56" t="s">
        <v>61</v>
      </c>
      <c r="B17" s="9" t="s">
        <v>62</v>
      </c>
      <c r="C17" s="5"/>
      <c r="D17" s="5" t="s">
        <v>80</v>
      </c>
      <c r="E17" s="2">
        <v>15.5</v>
      </c>
      <c r="F17" s="2">
        <f t="shared" si="2"/>
        <v>11.625</v>
      </c>
      <c r="G17" s="2">
        <f t="shared" si="3"/>
        <v>3.875</v>
      </c>
      <c r="H17" s="2">
        <v>3.5</v>
      </c>
      <c r="I17" s="59" t="s">
        <v>75</v>
      </c>
      <c r="J17" s="119"/>
    </row>
    <row r="18" spans="1:10" ht="30">
      <c r="A18" s="56" t="s">
        <v>63</v>
      </c>
      <c r="B18" s="5" t="s">
        <v>63</v>
      </c>
      <c r="C18" s="1"/>
      <c r="D18" s="5" t="s">
        <v>80</v>
      </c>
      <c r="E18" s="2">
        <v>22.5</v>
      </c>
      <c r="F18" s="2">
        <f t="shared" si="2"/>
        <v>16.875</v>
      </c>
      <c r="G18" s="2">
        <f t="shared" si="3"/>
        <v>5.625</v>
      </c>
      <c r="H18" s="2">
        <v>4</v>
      </c>
      <c r="I18" s="59" t="s">
        <v>75</v>
      </c>
      <c r="J18" s="119"/>
    </row>
    <row r="19" spans="1:10">
      <c r="A19" s="56" t="s">
        <v>64</v>
      </c>
      <c r="B19" s="5" t="s">
        <v>64</v>
      </c>
      <c r="C19" s="1"/>
      <c r="D19" s="5" t="s">
        <v>80</v>
      </c>
      <c r="E19" s="2">
        <v>30.5</v>
      </c>
      <c r="F19" s="2">
        <f t="shared" si="2"/>
        <v>22.875</v>
      </c>
      <c r="G19" s="2">
        <f t="shared" si="3"/>
        <v>7.625</v>
      </c>
      <c r="H19" s="2">
        <v>13</v>
      </c>
      <c r="I19" s="59" t="s">
        <v>75</v>
      </c>
      <c r="J19" s="119"/>
    </row>
    <row r="20" spans="1:10" ht="15.75" thickBot="1">
      <c r="A20" s="57" t="s">
        <v>78</v>
      </c>
      <c r="B20" s="116" t="s">
        <v>79</v>
      </c>
      <c r="C20" s="117"/>
      <c r="D20" s="58" t="s">
        <v>80</v>
      </c>
      <c r="E20" s="28">
        <v>12.5</v>
      </c>
      <c r="F20" s="28">
        <f t="shared" si="2"/>
        <v>9.375</v>
      </c>
      <c r="G20" s="28">
        <f t="shared" si="3"/>
        <v>3.125</v>
      </c>
      <c r="H20" s="28">
        <v>3.5</v>
      </c>
      <c r="I20" s="60" t="s">
        <v>75</v>
      </c>
      <c r="J20" s="120"/>
    </row>
    <row r="21" spans="1:10">
      <c r="A21" s="121" t="s">
        <v>53</v>
      </c>
      <c r="B21" s="61" t="s">
        <v>54</v>
      </c>
      <c r="C21" s="61" t="s">
        <v>55</v>
      </c>
      <c r="D21" s="61" t="s">
        <v>74</v>
      </c>
      <c r="E21" s="123">
        <v>4</v>
      </c>
      <c r="F21" s="123">
        <f t="shared" si="2"/>
        <v>3</v>
      </c>
      <c r="G21" s="123">
        <f t="shared" si="3"/>
        <v>1</v>
      </c>
      <c r="H21" s="123">
        <v>0</v>
      </c>
      <c r="I21" s="125" t="s">
        <v>81</v>
      </c>
      <c r="J21" s="113" t="s">
        <v>82</v>
      </c>
    </row>
    <row r="22" spans="1:10" ht="30">
      <c r="A22" s="122"/>
      <c r="B22" s="10" t="s">
        <v>57</v>
      </c>
      <c r="C22" s="10" t="s">
        <v>58</v>
      </c>
      <c r="D22" s="10" t="s">
        <v>74</v>
      </c>
      <c r="E22" s="124"/>
      <c r="F22" s="124"/>
      <c r="G22" s="124"/>
      <c r="H22" s="124"/>
      <c r="I22" s="126"/>
      <c r="J22" s="114"/>
    </row>
    <row r="23" spans="1:10">
      <c r="A23" s="62" t="s">
        <v>59</v>
      </c>
      <c r="B23" s="11" t="s">
        <v>60</v>
      </c>
      <c r="C23" s="12"/>
      <c r="D23" s="10" t="s">
        <v>74</v>
      </c>
      <c r="E23" s="4">
        <v>12</v>
      </c>
      <c r="F23" s="4">
        <f>E23*75%</f>
        <v>9</v>
      </c>
      <c r="G23" s="4">
        <f>E23*25%</f>
        <v>3</v>
      </c>
      <c r="H23" s="4">
        <v>0</v>
      </c>
      <c r="I23" s="89" t="s">
        <v>81</v>
      </c>
      <c r="J23" s="114"/>
    </row>
    <row r="24" spans="1:10" ht="30">
      <c r="A24" s="62" t="s">
        <v>57</v>
      </c>
      <c r="B24" s="10" t="s">
        <v>57</v>
      </c>
      <c r="C24" s="3"/>
      <c r="D24" s="10" t="s">
        <v>74</v>
      </c>
      <c r="E24" s="4">
        <v>16.5</v>
      </c>
      <c r="F24" s="4">
        <f>E24*75%</f>
        <v>12.375</v>
      </c>
      <c r="G24" s="4">
        <f>E24*25%</f>
        <v>4.125</v>
      </c>
      <c r="H24" s="4">
        <v>0</v>
      </c>
      <c r="I24" s="89" t="s">
        <v>81</v>
      </c>
      <c r="J24" s="114"/>
    </row>
    <row r="25" spans="1:10">
      <c r="A25" s="62" t="s">
        <v>54</v>
      </c>
      <c r="B25" s="10" t="s">
        <v>54</v>
      </c>
      <c r="C25" s="3"/>
      <c r="D25" s="10" t="s">
        <v>74</v>
      </c>
      <c r="E25" s="4">
        <v>20.5</v>
      </c>
      <c r="F25" s="4">
        <f>75%*E25</f>
        <v>15.375</v>
      </c>
      <c r="G25" s="4">
        <f>25%*E25</f>
        <v>5.125</v>
      </c>
      <c r="H25" s="4">
        <v>0</v>
      </c>
      <c r="I25" s="89" t="s">
        <v>81</v>
      </c>
      <c r="J25" s="114"/>
    </row>
    <row r="26" spans="1:10" ht="30.75" customHeight="1">
      <c r="A26" s="62" t="s">
        <v>61</v>
      </c>
      <c r="B26" s="10" t="s">
        <v>62</v>
      </c>
      <c r="C26" s="10"/>
      <c r="D26" s="10" t="s">
        <v>74</v>
      </c>
      <c r="E26" s="4">
        <v>16.5</v>
      </c>
      <c r="F26" s="4">
        <f t="shared" ref="F26" si="4">75%*E26</f>
        <v>12.375</v>
      </c>
      <c r="G26" s="4">
        <f t="shared" ref="G26" si="5">25%*E26</f>
        <v>4.125</v>
      </c>
      <c r="H26" s="4">
        <v>0</v>
      </c>
      <c r="I26" s="89" t="s">
        <v>81</v>
      </c>
      <c r="J26" s="114"/>
    </row>
    <row r="27" spans="1:10" ht="30">
      <c r="A27" s="62" t="s">
        <v>63</v>
      </c>
      <c r="B27" s="10" t="s">
        <v>63</v>
      </c>
      <c r="C27" s="3"/>
      <c r="D27" s="10" t="s">
        <v>74</v>
      </c>
      <c r="E27" s="4">
        <v>22.5</v>
      </c>
      <c r="F27" s="4">
        <f>E27*75%</f>
        <v>16.875</v>
      </c>
      <c r="G27" s="4">
        <f>E27*25%</f>
        <v>5.625</v>
      </c>
      <c r="H27" s="4">
        <v>0</v>
      </c>
      <c r="I27" s="89" t="s">
        <v>81</v>
      </c>
      <c r="J27" s="114"/>
    </row>
    <row r="28" spans="1:10">
      <c r="A28" s="62" t="s">
        <v>64</v>
      </c>
      <c r="B28" s="10" t="s">
        <v>64</v>
      </c>
      <c r="C28" s="3"/>
      <c r="D28" s="10" t="s">
        <v>74</v>
      </c>
      <c r="E28" s="4">
        <v>40.5</v>
      </c>
      <c r="F28" s="4">
        <f>E28*75%</f>
        <v>30.375</v>
      </c>
      <c r="G28" s="4">
        <f>E28*25%</f>
        <v>10.125</v>
      </c>
      <c r="H28" s="4">
        <v>0</v>
      </c>
      <c r="I28" s="89" t="s">
        <v>81</v>
      </c>
      <c r="J28" s="114"/>
    </row>
    <row r="29" spans="1:10" ht="15.75" thickBot="1">
      <c r="A29" s="63" t="s">
        <v>78</v>
      </c>
      <c r="B29" s="112" t="s">
        <v>79</v>
      </c>
      <c r="C29" s="112"/>
      <c r="D29" s="64" t="s">
        <v>74</v>
      </c>
      <c r="E29" s="36">
        <v>12.5</v>
      </c>
      <c r="F29" s="36">
        <f t="shared" ref="F29" si="6">E29*75%</f>
        <v>9.375</v>
      </c>
      <c r="G29" s="36">
        <f t="shared" ref="G29" si="7">E29*25%</f>
        <v>3.125</v>
      </c>
      <c r="H29" s="36">
        <v>0</v>
      </c>
      <c r="I29" s="90" t="s">
        <v>81</v>
      </c>
      <c r="J29" s="114"/>
    </row>
    <row r="30" spans="1:10" ht="15" customHeight="1">
      <c r="A30" s="121" t="s">
        <v>53</v>
      </c>
      <c r="B30" s="61" t="s">
        <v>54</v>
      </c>
      <c r="C30" s="61" t="s">
        <v>55</v>
      </c>
      <c r="D30" s="61" t="s">
        <v>80</v>
      </c>
      <c r="E30" s="123">
        <v>6</v>
      </c>
      <c r="F30" s="123">
        <f>E30*75%</f>
        <v>4.5</v>
      </c>
      <c r="G30" s="123">
        <f>E30*25%</f>
        <v>1.5</v>
      </c>
      <c r="H30" s="123">
        <v>0</v>
      </c>
      <c r="I30" s="125" t="s">
        <v>81</v>
      </c>
      <c r="J30" s="114"/>
    </row>
    <row r="31" spans="1:10" ht="30">
      <c r="A31" s="122"/>
      <c r="B31" s="10" t="s">
        <v>57</v>
      </c>
      <c r="C31" s="10" t="s">
        <v>58</v>
      </c>
      <c r="D31" s="10" t="s">
        <v>80</v>
      </c>
      <c r="E31" s="124"/>
      <c r="F31" s="124"/>
      <c r="G31" s="124"/>
      <c r="H31" s="124"/>
      <c r="I31" s="126"/>
      <c r="J31" s="114"/>
    </row>
    <row r="32" spans="1:10">
      <c r="A32" s="62" t="s">
        <v>59</v>
      </c>
      <c r="B32" s="11" t="s">
        <v>60</v>
      </c>
      <c r="C32" s="12"/>
      <c r="D32" s="10" t="s">
        <v>80</v>
      </c>
      <c r="E32" s="4">
        <v>14</v>
      </c>
      <c r="F32" s="4">
        <f>E32*75%</f>
        <v>10.5</v>
      </c>
      <c r="G32" s="4">
        <f>E32*25%</f>
        <v>3.5</v>
      </c>
      <c r="H32" s="4">
        <v>0</v>
      </c>
      <c r="I32" s="89" t="s">
        <v>81</v>
      </c>
      <c r="J32" s="114"/>
    </row>
    <row r="33" spans="1:10" ht="30">
      <c r="A33" s="62" t="s">
        <v>57</v>
      </c>
      <c r="B33" s="10" t="s">
        <v>57</v>
      </c>
      <c r="C33" s="3"/>
      <c r="D33" s="10" t="s">
        <v>80</v>
      </c>
      <c r="E33" s="4">
        <v>18.5</v>
      </c>
      <c r="F33" s="4">
        <f>E33*75%</f>
        <v>13.875</v>
      </c>
      <c r="G33" s="4">
        <f>E33*25%</f>
        <v>4.625</v>
      </c>
      <c r="H33" s="4">
        <v>0</v>
      </c>
      <c r="I33" s="89" t="s">
        <v>81</v>
      </c>
      <c r="J33" s="114"/>
    </row>
    <row r="34" spans="1:10">
      <c r="A34" s="62" t="s">
        <v>54</v>
      </c>
      <c r="B34" s="10" t="s">
        <v>54</v>
      </c>
      <c r="C34" s="3"/>
      <c r="D34" s="10" t="s">
        <v>80</v>
      </c>
      <c r="E34" s="4">
        <v>22.5</v>
      </c>
      <c r="F34" s="4">
        <f>75%*E34</f>
        <v>16.875</v>
      </c>
      <c r="G34" s="4">
        <f>25%*E34</f>
        <v>5.625</v>
      </c>
      <c r="H34" s="4">
        <v>0</v>
      </c>
      <c r="I34" s="89" t="s">
        <v>81</v>
      </c>
      <c r="J34" s="114"/>
    </row>
    <row r="35" spans="1:10" ht="30.75" customHeight="1">
      <c r="A35" s="62" t="s">
        <v>61</v>
      </c>
      <c r="B35" s="10" t="s">
        <v>62</v>
      </c>
      <c r="C35" s="10"/>
      <c r="D35" s="10" t="s">
        <v>80</v>
      </c>
      <c r="E35" s="4">
        <v>18.5</v>
      </c>
      <c r="F35" s="4">
        <f t="shared" ref="F35" si="8">75%*E35</f>
        <v>13.875</v>
      </c>
      <c r="G35" s="4">
        <f t="shared" ref="G35" si="9">25%*E35</f>
        <v>4.625</v>
      </c>
      <c r="H35" s="4">
        <v>0</v>
      </c>
      <c r="I35" s="89" t="s">
        <v>81</v>
      </c>
      <c r="J35" s="114"/>
    </row>
    <row r="36" spans="1:10" ht="30">
      <c r="A36" s="62" t="s">
        <v>63</v>
      </c>
      <c r="B36" s="10" t="s">
        <v>63</v>
      </c>
      <c r="C36" s="3"/>
      <c r="D36" s="10" t="s">
        <v>80</v>
      </c>
      <c r="E36" s="4">
        <v>24.5</v>
      </c>
      <c r="F36" s="4">
        <f>E36*75%</f>
        <v>18.375</v>
      </c>
      <c r="G36" s="4">
        <f>E36*25%</f>
        <v>6.125</v>
      </c>
      <c r="H36" s="4">
        <v>0</v>
      </c>
      <c r="I36" s="89" t="s">
        <v>81</v>
      </c>
      <c r="J36" s="114"/>
    </row>
    <row r="37" spans="1:10">
      <c r="A37" s="62" t="s">
        <v>64</v>
      </c>
      <c r="B37" s="10" t="s">
        <v>64</v>
      </c>
      <c r="C37" s="3"/>
      <c r="D37" s="10" t="s">
        <v>80</v>
      </c>
      <c r="E37" s="4">
        <v>42.5</v>
      </c>
      <c r="F37" s="4">
        <f>E37*75%</f>
        <v>31.875</v>
      </c>
      <c r="G37" s="4">
        <f>E37*25%</f>
        <v>10.625</v>
      </c>
      <c r="H37" s="4">
        <v>0</v>
      </c>
      <c r="I37" s="89" t="s">
        <v>81</v>
      </c>
      <c r="J37" s="114"/>
    </row>
    <row r="38" spans="1:10" ht="15.75" thickBot="1">
      <c r="A38" s="63" t="s">
        <v>78</v>
      </c>
      <c r="B38" s="112" t="s">
        <v>79</v>
      </c>
      <c r="C38" s="112"/>
      <c r="D38" s="64" t="s">
        <v>80</v>
      </c>
      <c r="E38" s="36">
        <v>14.5</v>
      </c>
      <c r="F38" s="36">
        <f t="shared" ref="F38" si="10">E38*75%</f>
        <v>10.875</v>
      </c>
      <c r="G38" s="36">
        <f t="shared" ref="G38" si="11">E38*25%</f>
        <v>3.625</v>
      </c>
      <c r="H38" s="36">
        <v>0</v>
      </c>
      <c r="I38" s="90" t="s">
        <v>81</v>
      </c>
      <c r="J38" s="115"/>
    </row>
  </sheetData>
  <mergeCells count="38">
    <mergeCell ref="B20:C20"/>
    <mergeCell ref="I1:I2"/>
    <mergeCell ref="J1:J2"/>
    <mergeCell ref="A1:A2"/>
    <mergeCell ref="E1:E2"/>
    <mergeCell ref="F1:F2"/>
    <mergeCell ref="J3:J20"/>
    <mergeCell ref="A3:A4"/>
    <mergeCell ref="I3:I4"/>
    <mergeCell ref="A12:A13"/>
    <mergeCell ref="I12:I13"/>
    <mergeCell ref="B11:C11"/>
    <mergeCell ref="E12:E13"/>
    <mergeCell ref="F12:F13"/>
    <mergeCell ref="G12:G13"/>
    <mergeCell ref="H12:H13"/>
    <mergeCell ref="G1:G2"/>
    <mergeCell ref="H1:H2"/>
    <mergeCell ref="B1:D1"/>
    <mergeCell ref="E3:E4"/>
    <mergeCell ref="F3:F4"/>
    <mergeCell ref="G3:G4"/>
    <mergeCell ref="H3:H4"/>
    <mergeCell ref="J21:J38"/>
    <mergeCell ref="B38:C38"/>
    <mergeCell ref="B29:C29"/>
    <mergeCell ref="A30:A31"/>
    <mergeCell ref="E30:E31"/>
    <mergeCell ref="F30:F31"/>
    <mergeCell ref="G30:G31"/>
    <mergeCell ref="H30:H31"/>
    <mergeCell ref="I30:I31"/>
    <mergeCell ref="E21:E22"/>
    <mergeCell ref="F21:F22"/>
    <mergeCell ref="G21:G22"/>
    <mergeCell ref="H21:H22"/>
    <mergeCell ref="I21:I22"/>
    <mergeCell ref="A21:A2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workbookViewId="0">
      <selection activeCell="D6" sqref="D6"/>
    </sheetView>
  </sheetViews>
  <sheetFormatPr defaultRowHeight="15"/>
  <cols>
    <col min="1" max="1" width="8.28515625" bestFit="1" customWidth="1"/>
    <col min="2" max="2" width="22.28515625" customWidth="1"/>
  </cols>
  <sheetData>
    <row r="1" spans="1:2">
      <c r="A1" s="78" t="s">
        <v>83</v>
      </c>
      <c r="B1" s="77" t="s">
        <v>69</v>
      </c>
    </row>
    <row r="2" spans="1:2">
      <c r="A2" s="1" t="s">
        <v>84</v>
      </c>
      <c r="B2" s="2">
        <v>4</v>
      </c>
    </row>
    <row r="3" spans="1:2">
      <c r="A3" s="95" t="s">
        <v>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87"/>
  <sheetViews>
    <sheetView zoomScale="90" zoomScaleNormal="90" workbookViewId="0">
      <pane ySplit="2" topLeftCell="A198" activePane="bottomLeft" state="frozen"/>
      <selection pane="bottomLeft" activeCell="K205" sqref="K205"/>
      <selection activeCell="C2" sqref="C2"/>
    </sheetView>
  </sheetViews>
  <sheetFormatPr defaultRowHeight="15"/>
  <cols>
    <col min="1" max="1" width="24" customWidth="1"/>
    <col min="2" max="2" width="23.85546875" bestFit="1" customWidth="1"/>
    <col min="3" max="3" width="24.42578125" style="18" customWidth="1"/>
    <col min="4" max="4" width="13.28515625" bestFit="1" customWidth="1"/>
    <col min="5" max="5" width="23.7109375" bestFit="1" customWidth="1"/>
    <col min="6" max="6" width="19.140625" customWidth="1"/>
    <col min="7" max="7" width="15.28515625" customWidth="1"/>
    <col min="8" max="8" width="14" customWidth="1"/>
    <col min="9" max="9" width="20.28515625" bestFit="1" customWidth="1"/>
    <col min="10" max="10" width="12.85546875" style="18" customWidth="1"/>
  </cols>
  <sheetData>
    <row r="1" spans="1:10">
      <c r="A1" s="109" t="s">
        <v>0</v>
      </c>
      <c r="B1" s="111" t="s">
        <v>1</v>
      </c>
      <c r="C1" s="111"/>
      <c r="D1" s="111"/>
      <c r="E1" s="111"/>
      <c r="F1" s="107" t="s">
        <v>66</v>
      </c>
      <c r="G1" s="107" t="s">
        <v>67</v>
      </c>
      <c r="H1" s="107" t="s">
        <v>68</v>
      </c>
      <c r="I1" s="107" t="s">
        <v>69</v>
      </c>
      <c r="J1" s="107" t="s">
        <v>83</v>
      </c>
    </row>
    <row r="2" spans="1:10" ht="15.75" thickBot="1">
      <c r="A2" s="110"/>
      <c r="B2" s="78" t="s">
        <v>8</v>
      </c>
      <c r="C2" s="16" t="s">
        <v>86</v>
      </c>
      <c r="D2" s="78" t="s">
        <v>87</v>
      </c>
      <c r="E2" s="78" t="s">
        <v>88</v>
      </c>
      <c r="F2" s="108"/>
      <c r="G2" s="108"/>
      <c r="H2" s="108"/>
      <c r="I2" s="108"/>
      <c r="J2" s="108"/>
    </row>
    <row r="3" spans="1:10">
      <c r="A3" s="21" t="s">
        <v>13</v>
      </c>
      <c r="B3" s="22" t="s">
        <v>14</v>
      </c>
      <c r="C3" s="23"/>
      <c r="D3" s="22"/>
      <c r="E3" s="22"/>
      <c r="F3" s="24">
        <v>4.5</v>
      </c>
      <c r="G3" s="24">
        <f t="shared" ref="G3:G57" si="0">F3*75%</f>
        <v>3.375</v>
      </c>
      <c r="H3" s="24">
        <f>F3*25%</f>
        <v>1.125</v>
      </c>
      <c r="I3" s="24">
        <v>3</v>
      </c>
      <c r="J3" s="135" t="s">
        <v>89</v>
      </c>
    </row>
    <row r="4" spans="1:10">
      <c r="A4" s="138" t="s">
        <v>17</v>
      </c>
      <c r="B4" s="15" t="s">
        <v>18</v>
      </c>
      <c r="C4" s="15"/>
      <c r="D4" s="15"/>
      <c r="E4" s="15"/>
      <c r="F4" s="2">
        <v>5</v>
      </c>
      <c r="G4" s="2">
        <f t="shared" si="0"/>
        <v>3.75</v>
      </c>
      <c r="H4" s="2">
        <f t="shared" ref="H4:H17" si="1">F4*25%</f>
        <v>1.25</v>
      </c>
      <c r="I4" s="2">
        <v>3</v>
      </c>
      <c r="J4" s="136"/>
    </row>
    <row r="5" spans="1:10">
      <c r="A5" s="139"/>
      <c r="B5" s="15" t="s">
        <v>19</v>
      </c>
      <c r="C5" s="15"/>
      <c r="D5" s="15"/>
      <c r="E5" s="15"/>
      <c r="F5" s="2">
        <v>5</v>
      </c>
      <c r="G5" s="2">
        <f t="shared" si="0"/>
        <v>3.75</v>
      </c>
      <c r="H5" s="2">
        <f t="shared" si="1"/>
        <v>1.25</v>
      </c>
      <c r="I5" s="2">
        <v>3</v>
      </c>
      <c r="J5" s="136"/>
    </row>
    <row r="6" spans="1:10">
      <c r="A6" s="139"/>
      <c r="B6" s="15" t="s">
        <v>20</v>
      </c>
      <c r="C6" s="15"/>
      <c r="D6" s="15"/>
      <c r="E6" s="15"/>
      <c r="F6" s="2">
        <v>5</v>
      </c>
      <c r="G6" s="2">
        <f t="shared" si="0"/>
        <v>3.75</v>
      </c>
      <c r="H6" s="2">
        <f t="shared" si="1"/>
        <v>1.25</v>
      </c>
      <c r="I6" s="2">
        <v>3</v>
      </c>
      <c r="J6" s="136"/>
    </row>
    <row r="7" spans="1:10">
      <c r="A7" s="139"/>
      <c r="B7" s="69" t="s">
        <v>21</v>
      </c>
      <c r="C7" s="15"/>
      <c r="D7" s="15"/>
      <c r="E7" s="15"/>
      <c r="F7" s="2">
        <v>5</v>
      </c>
      <c r="G7" s="2">
        <f t="shared" si="0"/>
        <v>3.75</v>
      </c>
      <c r="H7" s="2">
        <f t="shared" si="1"/>
        <v>1.25</v>
      </c>
      <c r="I7" s="2">
        <v>3</v>
      </c>
      <c r="J7" s="136"/>
    </row>
    <row r="8" spans="1:10">
      <c r="A8" s="139"/>
      <c r="B8" s="15" t="s">
        <v>22</v>
      </c>
      <c r="C8" s="15"/>
      <c r="D8" s="15"/>
      <c r="E8" s="15"/>
      <c r="F8" s="2">
        <v>5</v>
      </c>
      <c r="G8" s="2">
        <f t="shared" si="0"/>
        <v>3.75</v>
      </c>
      <c r="H8" s="2">
        <f t="shared" si="1"/>
        <v>1.25</v>
      </c>
      <c r="I8" s="2">
        <v>3</v>
      </c>
      <c r="J8" s="136"/>
    </row>
    <row r="9" spans="1:10">
      <c r="A9" s="139"/>
      <c r="B9" s="15" t="s">
        <v>23</v>
      </c>
      <c r="C9" s="15"/>
      <c r="D9" s="15"/>
      <c r="E9" s="15"/>
      <c r="F9" s="2">
        <v>5</v>
      </c>
      <c r="G9" s="2">
        <f t="shared" si="0"/>
        <v>3.75</v>
      </c>
      <c r="H9" s="2">
        <f t="shared" si="1"/>
        <v>1.25</v>
      </c>
      <c r="I9" s="2">
        <v>3</v>
      </c>
      <c r="J9" s="136"/>
    </row>
    <row r="10" spans="1:10">
      <c r="A10" s="139"/>
      <c r="B10" s="15" t="s">
        <v>24</v>
      </c>
      <c r="C10" s="15"/>
      <c r="D10" s="15"/>
      <c r="E10" s="15"/>
      <c r="F10" s="2">
        <v>5</v>
      </c>
      <c r="G10" s="2">
        <f t="shared" si="0"/>
        <v>3.75</v>
      </c>
      <c r="H10" s="2">
        <f t="shared" si="1"/>
        <v>1.25</v>
      </c>
      <c r="I10" s="2">
        <v>3</v>
      </c>
      <c r="J10" s="136"/>
    </row>
    <row r="11" spans="1:10">
      <c r="A11" s="140"/>
      <c r="B11" s="15" t="s">
        <v>25</v>
      </c>
      <c r="C11" s="15"/>
      <c r="D11" s="15"/>
      <c r="E11" s="15"/>
      <c r="F11" s="2">
        <v>5</v>
      </c>
      <c r="G11" s="2">
        <f t="shared" si="0"/>
        <v>3.75</v>
      </c>
      <c r="H11" s="2">
        <f t="shared" si="1"/>
        <v>1.25</v>
      </c>
      <c r="I11" s="2">
        <v>3</v>
      </c>
      <c r="J11" s="136"/>
    </row>
    <row r="12" spans="1:10">
      <c r="A12" s="25" t="s">
        <v>26</v>
      </c>
      <c r="B12" s="15" t="s">
        <v>27</v>
      </c>
      <c r="C12" s="15"/>
      <c r="D12" s="15" t="s">
        <v>90</v>
      </c>
      <c r="E12" s="15" t="s">
        <v>90</v>
      </c>
      <c r="F12" s="2">
        <v>1.5</v>
      </c>
      <c r="G12" s="2">
        <f t="shared" si="0"/>
        <v>1.125</v>
      </c>
      <c r="H12" s="2">
        <f t="shared" si="1"/>
        <v>0.375</v>
      </c>
      <c r="I12" s="2">
        <v>0.5</v>
      </c>
      <c r="J12" s="136"/>
    </row>
    <row r="13" spans="1:10">
      <c r="A13" s="25" t="s">
        <v>28</v>
      </c>
      <c r="B13" s="15" t="s">
        <v>29</v>
      </c>
      <c r="C13" s="15"/>
      <c r="D13" s="15" t="s">
        <v>90</v>
      </c>
      <c r="E13" s="15" t="s">
        <v>90</v>
      </c>
      <c r="F13" s="2">
        <v>7</v>
      </c>
      <c r="G13" s="2">
        <f t="shared" si="0"/>
        <v>5.25</v>
      </c>
      <c r="H13" s="2">
        <f t="shared" si="1"/>
        <v>1.75</v>
      </c>
      <c r="I13" s="2">
        <v>3</v>
      </c>
      <c r="J13" s="136"/>
    </row>
    <row r="14" spans="1:10">
      <c r="A14" s="25" t="s">
        <v>30</v>
      </c>
      <c r="B14" s="15" t="s">
        <v>31</v>
      </c>
      <c r="C14" s="15"/>
      <c r="D14" s="15" t="s">
        <v>90</v>
      </c>
      <c r="E14" s="15" t="s">
        <v>90</v>
      </c>
      <c r="F14" s="2">
        <v>11.5</v>
      </c>
      <c r="G14" s="2">
        <f t="shared" si="0"/>
        <v>8.625</v>
      </c>
      <c r="H14" s="2">
        <f t="shared" si="1"/>
        <v>2.875</v>
      </c>
      <c r="I14" s="2">
        <v>4</v>
      </c>
      <c r="J14" s="136"/>
    </row>
    <row r="15" spans="1:10">
      <c r="A15" s="25" t="s">
        <v>32</v>
      </c>
      <c r="B15" s="15" t="s">
        <v>32</v>
      </c>
      <c r="C15" s="15"/>
      <c r="D15" s="15" t="s">
        <v>90</v>
      </c>
      <c r="E15" s="15" t="s">
        <v>90</v>
      </c>
      <c r="F15" s="2">
        <v>11.5</v>
      </c>
      <c r="G15" s="2">
        <f t="shared" si="0"/>
        <v>8.625</v>
      </c>
      <c r="H15" s="2">
        <f t="shared" si="1"/>
        <v>2.875</v>
      </c>
      <c r="I15" s="2">
        <v>3</v>
      </c>
      <c r="J15" s="136"/>
    </row>
    <row r="16" spans="1:10">
      <c r="A16" s="25" t="s">
        <v>33</v>
      </c>
      <c r="B16" s="15" t="s">
        <v>34</v>
      </c>
      <c r="C16" s="15"/>
      <c r="D16" s="15" t="s">
        <v>90</v>
      </c>
      <c r="E16" s="15" t="s">
        <v>90</v>
      </c>
      <c r="F16" s="2">
        <v>13</v>
      </c>
      <c r="G16" s="2">
        <f t="shared" si="0"/>
        <v>9.75</v>
      </c>
      <c r="H16" s="2">
        <f t="shared" si="1"/>
        <v>3.25</v>
      </c>
      <c r="I16" s="2">
        <v>4</v>
      </c>
      <c r="J16" s="136"/>
    </row>
    <row r="17" spans="1:10">
      <c r="A17" s="138" t="s">
        <v>35</v>
      </c>
      <c r="B17" s="15" t="s">
        <v>36</v>
      </c>
      <c r="C17" s="15"/>
      <c r="D17" s="15" t="s">
        <v>90</v>
      </c>
      <c r="E17" s="15" t="s">
        <v>90</v>
      </c>
      <c r="F17" s="2">
        <v>15</v>
      </c>
      <c r="G17" s="2">
        <f t="shared" si="0"/>
        <v>11.25</v>
      </c>
      <c r="H17" s="2">
        <f t="shared" si="1"/>
        <v>3.75</v>
      </c>
      <c r="I17" s="2">
        <v>4</v>
      </c>
      <c r="J17" s="136"/>
    </row>
    <row r="18" spans="1:10">
      <c r="A18" s="139"/>
      <c r="B18" s="15" t="s">
        <v>37</v>
      </c>
      <c r="C18" s="15"/>
      <c r="D18" s="15" t="s">
        <v>90</v>
      </c>
      <c r="E18" s="15" t="s">
        <v>90</v>
      </c>
      <c r="F18" s="2">
        <v>15</v>
      </c>
      <c r="G18" s="2">
        <f t="shared" si="0"/>
        <v>11.25</v>
      </c>
      <c r="H18" s="2">
        <f t="shared" ref="H18:H20" si="2">F18*25%</f>
        <v>3.75</v>
      </c>
      <c r="I18" s="2">
        <v>4</v>
      </c>
      <c r="J18" s="136"/>
    </row>
    <row r="19" spans="1:10">
      <c r="A19" s="140"/>
      <c r="B19" s="69" t="s">
        <v>38</v>
      </c>
      <c r="C19" s="15"/>
      <c r="D19" s="15" t="s">
        <v>90</v>
      </c>
      <c r="E19" s="15" t="s">
        <v>90</v>
      </c>
      <c r="F19" s="2">
        <v>15</v>
      </c>
      <c r="G19" s="2">
        <f t="shared" si="0"/>
        <v>11.25</v>
      </c>
      <c r="H19" s="2">
        <f t="shared" si="2"/>
        <v>3.75</v>
      </c>
      <c r="I19" s="2">
        <v>4</v>
      </c>
      <c r="J19" s="136"/>
    </row>
    <row r="20" spans="1:10">
      <c r="A20" s="138" t="s">
        <v>39</v>
      </c>
      <c r="B20" s="15" t="s">
        <v>40</v>
      </c>
      <c r="C20" s="15"/>
      <c r="D20" s="15" t="s">
        <v>90</v>
      </c>
      <c r="E20" s="15" t="s">
        <v>90</v>
      </c>
      <c r="F20" s="2">
        <v>10.5</v>
      </c>
      <c r="G20" s="2">
        <f t="shared" si="0"/>
        <v>7.875</v>
      </c>
      <c r="H20" s="2">
        <f t="shared" si="2"/>
        <v>2.625</v>
      </c>
      <c r="I20" s="2">
        <v>4</v>
      </c>
      <c r="J20" s="136"/>
    </row>
    <row r="21" spans="1:10">
      <c r="A21" s="139"/>
      <c r="B21" s="15" t="s">
        <v>41</v>
      </c>
      <c r="C21" s="15"/>
      <c r="D21" s="15" t="s">
        <v>90</v>
      </c>
      <c r="E21" s="15" t="s">
        <v>90</v>
      </c>
      <c r="F21" s="2">
        <v>10.5</v>
      </c>
      <c r="G21" s="2">
        <f t="shared" si="0"/>
        <v>7.875</v>
      </c>
      <c r="H21" s="2">
        <f t="shared" ref="H21:H24" si="3">F21*25%</f>
        <v>2.625</v>
      </c>
      <c r="I21" s="2">
        <v>4</v>
      </c>
      <c r="J21" s="136"/>
    </row>
    <row r="22" spans="1:10">
      <c r="A22" s="139"/>
      <c r="B22" s="15" t="s">
        <v>42</v>
      </c>
      <c r="C22" s="15"/>
      <c r="D22" s="15" t="s">
        <v>90</v>
      </c>
      <c r="E22" s="15" t="s">
        <v>90</v>
      </c>
      <c r="F22" s="2">
        <v>10.5</v>
      </c>
      <c r="G22" s="2">
        <f t="shared" si="0"/>
        <v>7.875</v>
      </c>
      <c r="H22" s="2">
        <f t="shared" si="3"/>
        <v>2.625</v>
      </c>
      <c r="I22" s="2">
        <v>4</v>
      </c>
      <c r="J22" s="136"/>
    </row>
    <row r="23" spans="1:10">
      <c r="A23" s="140"/>
      <c r="B23" s="15" t="s">
        <v>43</v>
      </c>
      <c r="C23" s="15"/>
      <c r="D23" s="15" t="s">
        <v>90</v>
      </c>
      <c r="E23" s="15" t="s">
        <v>90</v>
      </c>
      <c r="F23" s="2">
        <v>10.5</v>
      </c>
      <c r="G23" s="2">
        <f t="shared" si="0"/>
        <v>7.875</v>
      </c>
      <c r="H23" s="2">
        <f t="shared" si="3"/>
        <v>2.625</v>
      </c>
      <c r="I23" s="2">
        <v>4</v>
      </c>
      <c r="J23" s="136"/>
    </row>
    <row r="24" spans="1:10">
      <c r="A24" s="138" t="s">
        <v>44</v>
      </c>
      <c r="B24" s="15" t="s">
        <v>45</v>
      </c>
      <c r="C24" s="15"/>
      <c r="D24" s="15" t="s">
        <v>90</v>
      </c>
      <c r="E24" s="15" t="s">
        <v>90</v>
      </c>
      <c r="F24" s="2">
        <v>9</v>
      </c>
      <c r="G24" s="2">
        <f t="shared" si="0"/>
        <v>6.75</v>
      </c>
      <c r="H24" s="2">
        <f t="shared" si="3"/>
        <v>2.25</v>
      </c>
      <c r="I24" s="2">
        <v>3</v>
      </c>
      <c r="J24" s="136"/>
    </row>
    <row r="25" spans="1:10">
      <c r="A25" s="139"/>
      <c r="B25" s="15" t="s">
        <v>46</v>
      </c>
      <c r="C25" s="15"/>
      <c r="D25" s="15" t="s">
        <v>90</v>
      </c>
      <c r="E25" s="15" t="s">
        <v>90</v>
      </c>
      <c r="F25" s="2">
        <v>9</v>
      </c>
      <c r="G25" s="2">
        <f t="shared" si="0"/>
        <v>6.75</v>
      </c>
      <c r="H25" s="2">
        <f t="shared" ref="H25:H31" si="4">F25*25%</f>
        <v>2.25</v>
      </c>
      <c r="I25" s="2">
        <v>3</v>
      </c>
      <c r="J25" s="136"/>
    </row>
    <row r="26" spans="1:10">
      <c r="A26" s="139"/>
      <c r="B26" s="15" t="s">
        <v>47</v>
      </c>
      <c r="C26" s="15"/>
      <c r="D26" s="15" t="s">
        <v>90</v>
      </c>
      <c r="E26" s="15" t="s">
        <v>90</v>
      </c>
      <c r="F26" s="2">
        <v>9</v>
      </c>
      <c r="G26" s="2">
        <f t="shared" si="0"/>
        <v>6.75</v>
      </c>
      <c r="H26" s="2">
        <f t="shared" si="4"/>
        <v>2.25</v>
      </c>
      <c r="I26" s="2">
        <v>3</v>
      </c>
      <c r="J26" s="136"/>
    </row>
    <row r="27" spans="1:10">
      <c r="A27" s="139"/>
      <c r="B27" s="15" t="s">
        <v>48</v>
      </c>
      <c r="C27" s="15"/>
      <c r="D27" s="15" t="s">
        <v>90</v>
      </c>
      <c r="E27" s="15" t="s">
        <v>90</v>
      </c>
      <c r="F27" s="2">
        <v>9</v>
      </c>
      <c r="G27" s="2">
        <f t="shared" si="0"/>
        <v>6.75</v>
      </c>
      <c r="H27" s="2">
        <f t="shared" si="4"/>
        <v>2.25</v>
      </c>
      <c r="I27" s="2">
        <v>3</v>
      </c>
      <c r="J27" s="136"/>
    </row>
    <row r="28" spans="1:10">
      <c r="A28" s="139"/>
      <c r="B28" s="15" t="s">
        <v>49</v>
      </c>
      <c r="C28" s="15"/>
      <c r="D28" s="15" t="s">
        <v>90</v>
      </c>
      <c r="E28" s="15" t="s">
        <v>90</v>
      </c>
      <c r="F28" s="2">
        <v>9</v>
      </c>
      <c r="G28" s="2">
        <f t="shared" si="0"/>
        <v>6.75</v>
      </c>
      <c r="H28" s="2">
        <f t="shared" si="4"/>
        <v>2.25</v>
      </c>
      <c r="I28" s="2">
        <v>3</v>
      </c>
      <c r="J28" s="136"/>
    </row>
    <row r="29" spans="1:10">
      <c r="A29" s="139"/>
      <c r="B29" s="69" t="s">
        <v>50</v>
      </c>
      <c r="C29" s="15"/>
      <c r="D29" s="15" t="s">
        <v>90</v>
      </c>
      <c r="E29" s="15" t="s">
        <v>90</v>
      </c>
      <c r="F29" s="2">
        <v>9</v>
      </c>
      <c r="G29" s="2">
        <f t="shared" si="0"/>
        <v>6.75</v>
      </c>
      <c r="H29" s="2">
        <f t="shared" si="4"/>
        <v>2.25</v>
      </c>
      <c r="I29" s="2">
        <v>3</v>
      </c>
      <c r="J29" s="136"/>
    </row>
    <row r="30" spans="1:10">
      <c r="A30" s="140"/>
      <c r="B30" s="15" t="s">
        <v>51</v>
      </c>
      <c r="C30" s="15"/>
      <c r="D30" s="15" t="s">
        <v>90</v>
      </c>
      <c r="E30" s="15" t="s">
        <v>90</v>
      </c>
      <c r="F30" s="2">
        <v>9</v>
      </c>
      <c r="G30" s="2">
        <f t="shared" si="0"/>
        <v>6.75</v>
      </c>
      <c r="H30" s="2">
        <f t="shared" si="4"/>
        <v>2.25</v>
      </c>
      <c r="I30" s="2">
        <v>3</v>
      </c>
      <c r="J30" s="136"/>
    </row>
    <row r="31" spans="1:10">
      <c r="A31" s="141" t="s">
        <v>78</v>
      </c>
      <c r="B31" s="144" t="s">
        <v>79</v>
      </c>
      <c r="C31" s="17" t="s">
        <v>91</v>
      </c>
      <c r="D31" s="15" t="s">
        <v>90</v>
      </c>
      <c r="E31" s="15"/>
      <c r="F31" s="2">
        <v>5</v>
      </c>
      <c r="G31" s="2">
        <f t="shared" si="0"/>
        <v>3.75</v>
      </c>
      <c r="H31" s="2">
        <f t="shared" si="4"/>
        <v>1.25</v>
      </c>
      <c r="I31" s="2">
        <v>2</v>
      </c>
      <c r="J31" s="136"/>
    </row>
    <row r="32" spans="1:10" ht="30">
      <c r="A32" s="142"/>
      <c r="B32" s="145"/>
      <c r="C32" s="17" t="s">
        <v>92</v>
      </c>
      <c r="D32" s="15" t="s">
        <v>90</v>
      </c>
      <c r="E32" s="15"/>
      <c r="F32" s="2">
        <v>5</v>
      </c>
      <c r="G32" s="2">
        <f t="shared" si="0"/>
        <v>3.75</v>
      </c>
      <c r="H32" s="2">
        <f t="shared" ref="H32:H35" si="5">F32*25%</f>
        <v>1.25</v>
      </c>
      <c r="I32" s="2">
        <v>2</v>
      </c>
      <c r="J32" s="136"/>
    </row>
    <row r="33" spans="1:10" ht="30">
      <c r="A33" s="142"/>
      <c r="B33" s="145"/>
      <c r="C33" s="17" t="s">
        <v>93</v>
      </c>
      <c r="D33" s="15" t="s">
        <v>90</v>
      </c>
      <c r="E33" s="15"/>
      <c r="F33" s="2">
        <v>5</v>
      </c>
      <c r="G33" s="2">
        <f t="shared" si="0"/>
        <v>3.75</v>
      </c>
      <c r="H33" s="2">
        <f t="shared" si="5"/>
        <v>1.25</v>
      </c>
      <c r="I33" s="2">
        <v>2</v>
      </c>
      <c r="J33" s="136"/>
    </row>
    <row r="34" spans="1:10">
      <c r="A34" s="143"/>
      <c r="B34" s="146"/>
      <c r="C34" s="17" t="s">
        <v>94</v>
      </c>
      <c r="D34" s="15" t="s">
        <v>90</v>
      </c>
      <c r="E34" s="15"/>
      <c r="F34" s="2">
        <v>5</v>
      </c>
      <c r="G34" s="2">
        <f t="shared" si="0"/>
        <v>3.75</v>
      </c>
      <c r="H34" s="2">
        <f t="shared" si="5"/>
        <v>1.25</v>
      </c>
      <c r="I34" s="2">
        <v>2</v>
      </c>
      <c r="J34" s="136"/>
    </row>
    <row r="35" spans="1:10">
      <c r="A35" s="138" t="s">
        <v>95</v>
      </c>
      <c r="B35" s="144" t="s">
        <v>79</v>
      </c>
      <c r="C35" s="17" t="s">
        <v>96</v>
      </c>
      <c r="D35" s="15"/>
      <c r="E35" s="15"/>
      <c r="F35" s="2">
        <v>12</v>
      </c>
      <c r="G35" s="2">
        <f t="shared" si="0"/>
        <v>9</v>
      </c>
      <c r="H35" s="2">
        <f t="shared" si="5"/>
        <v>3</v>
      </c>
      <c r="I35" s="2">
        <v>0</v>
      </c>
      <c r="J35" s="136"/>
    </row>
    <row r="36" spans="1:10" ht="15.75" thickBot="1">
      <c r="A36" s="147"/>
      <c r="B36" s="148"/>
      <c r="C36" s="26" t="s">
        <v>97</v>
      </c>
      <c r="D36" s="27"/>
      <c r="E36" s="27"/>
      <c r="F36" s="28">
        <v>12</v>
      </c>
      <c r="G36" s="28">
        <f t="shared" si="0"/>
        <v>9</v>
      </c>
      <c r="H36" s="28">
        <f t="shared" ref="H36" si="6">F36*25%</f>
        <v>3</v>
      </c>
      <c r="I36" s="28">
        <v>0</v>
      </c>
      <c r="J36" s="137"/>
    </row>
    <row r="37" spans="1:10">
      <c r="A37" s="25" t="s">
        <v>26</v>
      </c>
      <c r="B37" s="15" t="s">
        <v>27</v>
      </c>
      <c r="C37" s="15"/>
      <c r="D37" s="15" t="s">
        <v>98</v>
      </c>
      <c r="E37" s="15" t="s">
        <v>90</v>
      </c>
      <c r="F37" s="2">
        <f t="shared" ref="F37:F59" si="7">F12+2</f>
        <v>3.5</v>
      </c>
      <c r="G37" s="2">
        <f t="shared" si="0"/>
        <v>2.625</v>
      </c>
      <c r="H37" s="2">
        <f t="shared" ref="H37:H59" si="8">F37*25%</f>
        <v>0.875</v>
      </c>
      <c r="I37" s="2">
        <v>0.5</v>
      </c>
      <c r="J37" s="149" t="s">
        <v>89</v>
      </c>
    </row>
    <row r="38" spans="1:10">
      <c r="A38" s="25" t="s">
        <v>28</v>
      </c>
      <c r="B38" s="15" t="s">
        <v>29</v>
      </c>
      <c r="C38" s="15"/>
      <c r="D38" s="15" t="s">
        <v>98</v>
      </c>
      <c r="E38" s="15" t="s">
        <v>90</v>
      </c>
      <c r="F38" s="2">
        <f t="shared" si="7"/>
        <v>9</v>
      </c>
      <c r="G38" s="2">
        <f t="shared" si="0"/>
        <v>6.75</v>
      </c>
      <c r="H38" s="2">
        <f t="shared" si="8"/>
        <v>2.25</v>
      </c>
      <c r="I38" s="2">
        <v>3</v>
      </c>
      <c r="J38" s="149"/>
    </row>
    <row r="39" spans="1:10">
      <c r="A39" s="25" t="s">
        <v>30</v>
      </c>
      <c r="B39" s="15" t="s">
        <v>31</v>
      </c>
      <c r="C39" s="15"/>
      <c r="D39" s="15" t="s">
        <v>98</v>
      </c>
      <c r="E39" s="15" t="s">
        <v>90</v>
      </c>
      <c r="F39" s="2">
        <f t="shared" si="7"/>
        <v>13.5</v>
      </c>
      <c r="G39" s="2">
        <f t="shared" si="0"/>
        <v>10.125</v>
      </c>
      <c r="H39" s="2">
        <f t="shared" si="8"/>
        <v>3.375</v>
      </c>
      <c r="I39" s="2">
        <v>4</v>
      </c>
      <c r="J39" s="149"/>
    </row>
    <row r="40" spans="1:10">
      <c r="A40" s="25" t="s">
        <v>32</v>
      </c>
      <c r="B40" s="15" t="s">
        <v>32</v>
      </c>
      <c r="C40" s="15"/>
      <c r="D40" s="15" t="s">
        <v>98</v>
      </c>
      <c r="E40" s="15" t="s">
        <v>90</v>
      </c>
      <c r="F40" s="2">
        <f t="shared" si="7"/>
        <v>13.5</v>
      </c>
      <c r="G40" s="2">
        <f t="shared" si="0"/>
        <v>10.125</v>
      </c>
      <c r="H40" s="2">
        <f t="shared" si="8"/>
        <v>3.375</v>
      </c>
      <c r="I40" s="2">
        <v>3</v>
      </c>
      <c r="J40" s="149"/>
    </row>
    <row r="41" spans="1:10">
      <c r="A41" s="25" t="s">
        <v>33</v>
      </c>
      <c r="B41" s="15" t="s">
        <v>34</v>
      </c>
      <c r="C41" s="15"/>
      <c r="D41" s="15" t="s">
        <v>98</v>
      </c>
      <c r="E41" s="15" t="s">
        <v>90</v>
      </c>
      <c r="F41" s="2">
        <f t="shared" si="7"/>
        <v>15</v>
      </c>
      <c r="G41" s="2">
        <f t="shared" si="0"/>
        <v>11.25</v>
      </c>
      <c r="H41" s="2">
        <f t="shared" si="8"/>
        <v>3.75</v>
      </c>
      <c r="I41" s="2">
        <v>4</v>
      </c>
      <c r="J41" s="149"/>
    </row>
    <row r="42" spans="1:10">
      <c r="A42" s="138" t="s">
        <v>35</v>
      </c>
      <c r="B42" s="15" t="s">
        <v>36</v>
      </c>
      <c r="C42" s="15"/>
      <c r="D42" s="15" t="s">
        <v>98</v>
      </c>
      <c r="E42" s="15" t="s">
        <v>90</v>
      </c>
      <c r="F42" s="2">
        <f t="shared" si="7"/>
        <v>17</v>
      </c>
      <c r="G42" s="2">
        <f t="shared" si="0"/>
        <v>12.75</v>
      </c>
      <c r="H42" s="2">
        <f t="shared" si="8"/>
        <v>4.25</v>
      </c>
      <c r="I42" s="2">
        <v>4</v>
      </c>
      <c r="J42" s="149"/>
    </row>
    <row r="43" spans="1:10">
      <c r="A43" s="139"/>
      <c r="B43" s="15" t="s">
        <v>37</v>
      </c>
      <c r="C43" s="15"/>
      <c r="D43" s="15" t="s">
        <v>98</v>
      </c>
      <c r="E43" s="15" t="s">
        <v>90</v>
      </c>
      <c r="F43" s="2">
        <f t="shared" si="7"/>
        <v>17</v>
      </c>
      <c r="G43" s="2">
        <f t="shared" si="0"/>
        <v>12.75</v>
      </c>
      <c r="H43" s="2">
        <f t="shared" si="8"/>
        <v>4.25</v>
      </c>
      <c r="I43" s="2">
        <v>4</v>
      </c>
      <c r="J43" s="149"/>
    </row>
    <row r="44" spans="1:10">
      <c r="A44" s="140"/>
      <c r="B44" s="69" t="s">
        <v>38</v>
      </c>
      <c r="C44" s="15"/>
      <c r="D44" s="15" t="s">
        <v>98</v>
      </c>
      <c r="E44" s="15" t="s">
        <v>90</v>
      </c>
      <c r="F44" s="2">
        <f t="shared" si="7"/>
        <v>17</v>
      </c>
      <c r="G44" s="2">
        <f t="shared" si="0"/>
        <v>12.75</v>
      </c>
      <c r="H44" s="2">
        <f t="shared" si="8"/>
        <v>4.25</v>
      </c>
      <c r="I44" s="2">
        <v>4</v>
      </c>
      <c r="J44" s="149"/>
    </row>
    <row r="45" spans="1:10">
      <c r="A45" s="138" t="s">
        <v>39</v>
      </c>
      <c r="B45" s="15" t="s">
        <v>40</v>
      </c>
      <c r="C45" s="15"/>
      <c r="D45" s="15" t="s">
        <v>98</v>
      </c>
      <c r="E45" s="15" t="s">
        <v>90</v>
      </c>
      <c r="F45" s="2">
        <f t="shared" si="7"/>
        <v>12.5</v>
      </c>
      <c r="G45" s="2">
        <f t="shared" si="0"/>
        <v>9.375</v>
      </c>
      <c r="H45" s="2">
        <f t="shared" si="8"/>
        <v>3.125</v>
      </c>
      <c r="I45" s="2">
        <v>4</v>
      </c>
      <c r="J45" s="149"/>
    </row>
    <row r="46" spans="1:10">
      <c r="A46" s="139"/>
      <c r="B46" s="15" t="s">
        <v>41</v>
      </c>
      <c r="C46" s="15"/>
      <c r="D46" s="15" t="s">
        <v>98</v>
      </c>
      <c r="E46" s="15" t="s">
        <v>90</v>
      </c>
      <c r="F46" s="2">
        <f t="shared" si="7"/>
        <v>12.5</v>
      </c>
      <c r="G46" s="2">
        <f t="shared" si="0"/>
        <v>9.375</v>
      </c>
      <c r="H46" s="2">
        <f t="shared" si="8"/>
        <v>3.125</v>
      </c>
      <c r="I46" s="2">
        <v>4</v>
      </c>
      <c r="J46" s="149"/>
    </row>
    <row r="47" spans="1:10">
      <c r="A47" s="139"/>
      <c r="B47" s="15" t="s">
        <v>42</v>
      </c>
      <c r="C47" s="15"/>
      <c r="D47" s="15" t="s">
        <v>98</v>
      </c>
      <c r="E47" s="15" t="s">
        <v>90</v>
      </c>
      <c r="F47" s="2">
        <f t="shared" si="7"/>
        <v>12.5</v>
      </c>
      <c r="G47" s="2">
        <f t="shared" si="0"/>
        <v>9.375</v>
      </c>
      <c r="H47" s="2">
        <f t="shared" si="8"/>
        <v>3.125</v>
      </c>
      <c r="I47" s="2">
        <v>4</v>
      </c>
      <c r="J47" s="149"/>
    </row>
    <row r="48" spans="1:10">
      <c r="A48" s="140"/>
      <c r="B48" s="15" t="s">
        <v>43</v>
      </c>
      <c r="C48" s="15"/>
      <c r="D48" s="15" t="s">
        <v>98</v>
      </c>
      <c r="E48" s="15" t="s">
        <v>90</v>
      </c>
      <c r="F48" s="2">
        <f t="shared" si="7"/>
        <v>12.5</v>
      </c>
      <c r="G48" s="2">
        <f t="shared" si="0"/>
        <v>9.375</v>
      </c>
      <c r="H48" s="2">
        <f t="shared" si="8"/>
        <v>3.125</v>
      </c>
      <c r="I48" s="2">
        <v>4</v>
      </c>
      <c r="J48" s="149"/>
    </row>
    <row r="49" spans="1:10">
      <c r="A49" s="138" t="s">
        <v>44</v>
      </c>
      <c r="B49" s="15" t="s">
        <v>45</v>
      </c>
      <c r="C49" s="15"/>
      <c r="D49" s="15" t="s">
        <v>98</v>
      </c>
      <c r="E49" s="15" t="s">
        <v>90</v>
      </c>
      <c r="F49" s="2">
        <f t="shared" si="7"/>
        <v>11</v>
      </c>
      <c r="G49" s="2">
        <f t="shared" si="0"/>
        <v>8.25</v>
      </c>
      <c r="H49" s="2">
        <f t="shared" si="8"/>
        <v>2.75</v>
      </c>
      <c r="I49" s="2">
        <v>3</v>
      </c>
      <c r="J49" s="149"/>
    </row>
    <row r="50" spans="1:10">
      <c r="A50" s="139"/>
      <c r="B50" s="15" t="s">
        <v>46</v>
      </c>
      <c r="C50" s="15"/>
      <c r="D50" s="15" t="s">
        <v>98</v>
      </c>
      <c r="E50" s="15" t="s">
        <v>90</v>
      </c>
      <c r="F50" s="2">
        <f t="shared" si="7"/>
        <v>11</v>
      </c>
      <c r="G50" s="2">
        <f t="shared" si="0"/>
        <v>8.25</v>
      </c>
      <c r="H50" s="2">
        <f t="shared" si="8"/>
        <v>2.75</v>
      </c>
      <c r="I50" s="2">
        <v>3</v>
      </c>
      <c r="J50" s="149"/>
    </row>
    <row r="51" spans="1:10">
      <c r="A51" s="139"/>
      <c r="B51" s="15" t="s">
        <v>47</v>
      </c>
      <c r="C51" s="15"/>
      <c r="D51" s="15" t="s">
        <v>98</v>
      </c>
      <c r="E51" s="15" t="s">
        <v>90</v>
      </c>
      <c r="F51" s="2">
        <f t="shared" si="7"/>
        <v>11</v>
      </c>
      <c r="G51" s="2">
        <f t="shared" si="0"/>
        <v>8.25</v>
      </c>
      <c r="H51" s="2">
        <f t="shared" si="8"/>
        <v>2.75</v>
      </c>
      <c r="I51" s="2">
        <v>3</v>
      </c>
      <c r="J51" s="149"/>
    </row>
    <row r="52" spans="1:10">
      <c r="A52" s="139"/>
      <c r="B52" s="15" t="s">
        <v>48</v>
      </c>
      <c r="C52" s="15"/>
      <c r="D52" s="15" t="s">
        <v>98</v>
      </c>
      <c r="E52" s="15" t="s">
        <v>90</v>
      </c>
      <c r="F52" s="2">
        <f t="shared" si="7"/>
        <v>11</v>
      </c>
      <c r="G52" s="2">
        <f t="shared" si="0"/>
        <v>8.25</v>
      </c>
      <c r="H52" s="2">
        <f t="shared" si="8"/>
        <v>2.75</v>
      </c>
      <c r="I52" s="2">
        <v>3</v>
      </c>
      <c r="J52" s="149"/>
    </row>
    <row r="53" spans="1:10">
      <c r="A53" s="139"/>
      <c r="B53" s="15" t="s">
        <v>49</v>
      </c>
      <c r="C53" s="15"/>
      <c r="D53" s="15" t="s">
        <v>98</v>
      </c>
      <c r="E53" s="15" t="s">
        <v>90</v>
      </c>
      <c r="F53" s="2">
        <f t="shared" si="7"/>
        <v>11</v>
      </c>
      <c r="G53" s="2">
        <f t="shared" si="0"/>
        <v>8.25</v>
      </c>
      <c r="H53" s="2">
        <f t="shared" si="8"/>
        <v>2.75</v>
      </c>
      <c r="I53" s="2">
        <v>3</v>
      </c>
      <c r="J53" s="149"/>
    </row>
    <row r="54" spans="1:10">
      <c r="A54" s="139"/>
      <c r="B54" s="69" t="s">
        <v>50</v>
      </c>
      <c r="C54" s="15"/>
      <c r="D54" s="15" t="s">
        <v>98</v>
      </c>
      <c r="E54" s="15" t="s">
        <v>90</v>
      </c>
      <c r="F54" s="2">
        <f t="shared" si="7"/>
        <v>11</v>
      </c>
      <c r="G54" s="2">
        <f t="shared" si="0"/>
        <v>8.25</v>
      </c>
      <c r="H54" s="2">
        <f t="shared" si="8"/>
        <v>2.75</v>
      </c>
      <c r="I54" s="2">
        <v>3</v>
      </c>
      <c r="J54" s="149"/>
    </row>
    <row r="55" spans="1:10">
      <c r="A55" s="140"/>
      <c r="B55" s="15" t="s">
        <v>51</v>
      </c>
      <c r="C55" s="15"/>
      <c r="D55" s="15" t="s">
        <v>98</v>
      </c>
      <c r="E55" s="15" t="s">
        <v>90</v>
      </c>
      <c r="F55" s="2">
        <f t="shared" si="7"/>
        <v>11</v>
      </c>
      <c r="G55" s="2">
        <f t="shared" si="0"/>
        <v>8.25</v>
      </c>
      <c r="H55" s="2">
        <f t="shared" si="8"/>
        <v>2.75</v>
      </c>
      <c r="I55" s="2">
        <v>3</v>
      </c>
      <c r="J55" s="149"/>
    </row>
    <row r="56" spans="1:10">
      <c r="A56" s="141" t="s">
        <v>78</v>
      </c>
      <c r="B56" s="144" t="s">
        <v>79</v>
      </c>
      <c r="C56" s="17" t="s">
        <v>91</v>
      </c>
      <c r="D56" s="15" t="s">
        <v>98</v>
      </c>
      <c r="E56" s="15"/>
      <c r="F56" s="2">
        <f t="shared" si="7"/>
        <v>7</v>
      </c>
      <c r="G56" s="2">
        <f t="shared" si="0"/>
        <v>5.25</v>
      </c>
      <c r="H56" s="2">
        <f t="shared" si="8"/>
        <v>1.75</v>
      </c>
      <c r="I56" s="2">
        <v>2</v>
      </c>
      <c r="J56" s="149"/>
    </row>
    <row r="57" spans="1:10" ht="30">
      <c r="A57" s="142"/>
      <c r="B57" s="145"/>
      <c r="C57" s="17" t="s">
        <v>92</v>
      </c>
      <c r="D57" s="15" t="s">
        <v>98</v>
      </c>
      <c r="E57" s="15"/>
      <c r="F57" s="2">
        <f t="shared" si="7"/>
        <v>7</v>
      </c>
      <c r="G57" s="2">
        <f t="shared" si="0"/>
        <v>5.25</v>
      </c>
      <c r="H57" s="2">
        <f t="shared" si="8"/>
        <v>1.75</v>
      </c>
      <c r="I57" s="2">
        <v>2</v>
      </c>
      <c r="J57" s="149"/>
    </row>
    <row r="58" spans="1:10" ht="30">
      <c r="A58" s="142"/>
      <c r="B58" s="145"/>
      <c r="C58" s="17" t="s">
        <v>93</v>
      </c>
      <c r="D58" s="15" t="s">
        <v>98</v>
      </c>
      <c r="E58" s="15"/>
      <c r="F58" s="2">
        <f t="shared" si="7"/>
        <v>7</v>
      </c>
      <c r="G58" s="2">
        <f t="shared" ref="G58:G121" si="9">F58*75%</f>
        <v>5.25</v>
      </c>
      <c r="H58" s="2">
        <f t="shared" si="8"/>
        <v>1.75</v>
      </c>
      <c r="I58" s="2">
        <v>2</v>
      </c>
      <c r="J58" s="149"/>
    </row>
    <row r="59" spans="1:10" ht="15.75" thickBot="1">
      <c r="A59" s="151"/>
      <c r="B59" s="148"/>
      <c r="C59" s="26" t="s">
        <v>94</v>
      </c>
      <c r="D59" s="27" t="s">
        <v>98</v>
      </c>
      <c r="E59" s="27"/>
      <c r="F59" s="28">
        <f t="shared" si="7"/>
        <v>7</v>
      </c>
      <c r="G59" s="28">
        <f t="shared" si="9"/>
        <v>5.25</v>
      </c>
      <c r="H59" s="28">
        <f t="shared" si="8"/>
        <v>1.75</v>
      </c>
      <c r="I59" s="28">
        <v>2</v>
      </c>
      <c r="J59" s="150"/>
    </row>
    <row r="60" spans="1:10">
      <c r="A60" s="21" t="s">
        <v>26</v>
      </c>
      <c r="B60" s="22" t="s">
        <v>27</v>
      </c>
      <c r="C60" s="22"/>
      <c r="D60" s="22" t="s">
        <v>90</v>
      </c>
      <c r="E60" s="22" t="s">
        <v>98</v>
      </c>
      <c r="F60" s="24">
        <f t="shared" ref="F60:F78" si="10">F12+1</f>
        <v>2.5</v>
      </c>
      <c r="G60" s="24">
        <f t="shared" si="9"/>
        <v>1.875</v>
      </c>
      <c r="H60" s="24">
        <f t="shared" ref="H60:H78" si="11">F60*25%</f>
        <v>0.625</v>
      </c>
      <c r="I60" s="24">
        <v>0.5</v>
      </c>
      <c r="J60" s="135" t="s">
        <v>89</v>
      </c>
    </row>
    <row r="61" spans="1:10">
      <c r="A61" s="25" t="s">
        <v>28</v>
      </c>
      <c r="B61" s="15" t="s">
        <v>29</v>
      </c>
      <c r="C61" s="15"/>
      <c r="D61" s="15" t="s">
        <v>90</v>
      </c>
      <c r="E61" s="15" t="s">
        <v>98</v>
      </c>
      <c r="F61" s="2">
        <f t="shared" si="10"/>
        <v>8</v>
      </c>
      <c r="G61" s="2">
        <f t="shared" si="9"/>
        <v>6</v>
      </c>
      <c r="H61" s="2">
        <f t="shared" si="11"/>
        <v>2</v>
      </c>
      <c r="I61" s="2">
        <v>3</v>
      </c>
      <c r="J61" s="136"/>
    </row>
    <row r="62" spans="1:10">
      <c r="A62" s="25" t="s">
        <v>30</v>
      </c>
      <c r="B62" s="15" t="s">
        <v>31</v>
      </c>
      <c r="C62" s="15"/>
      <c r="D62" s="15" t="s">
        <v>90</v>
      </c>
      <c r="E62" s="15" t="s">
        <v>98</v>
      </c>
      <c r="F62" s="2">
        <f t="shared" si="10"/>
        <v>12.5</v>
      </c>
      <c r="G62" s="2">
        <f t="shared" si="9"/>
        <v>9.375</v>
      </c>
      <c r="H62" s="2">
        <f t="shared" si="11"/>
        <v>3.125</v>
      </c>
      <c r="I62" s="2">
        <v>4</v>
      </c>
      <c r="J62" s="136"/>
    </row>
    <row r="63" spans="1:10">
      <c r="A63" s="25" t="s">
        <v>32</v>
      </c>
      <c r="B63" s="15" t="s">
        <v>32</v>
      </c>
      <c r="C63" s="15"/>
      <c r="D63" s="15" t="s">
        <v>90</v>
      </c>
      <c r="E63" s="15" t="s">
        <v>98</v>
      </c>
      <c r="F63" s="2">
        <f t="shared" si="10"/>
        <v>12.5</v>
      </c>
      <c r="G63" s="2">
        <f t="shared" si="9"/>
        <v>9.375</v>
      </c>
      <c r="H63" s="2">
        <f t="shared" si="11"/>
        <v>3.125</v>
      </c>
      <c r="I63" s="2">
        <v>3</v>
      </c>
      <c r="J63" s="136"/>
    </row>
    <row r="64" spans="1:10">
      <c r="A64" s="25" t="s">
        <v>33</v>
      </c>
      <c r="B64" s="15" t="s">
        <v>34</v>
      </c>
      <c r="C64" s="15"/>
      <c r="D64" s="15" t="s">
        <v>90</v>
      </c>
      <c r="E64" s="15" t="s">
        <v>98</v>
      </c>
      <c r="F64" s="2">
        <f t="shared" si="10"/>
        <v>14</v>
      </c>
      <c r="G64" s="2">
        <f t="shared" si="9"/>
        <v>10.5</v>
      </c>
      <c r="H64" s="2">
        <f t="shared" si="11"/>
        <v>3.5</v>
      </c>
      <c r="I64" s="2">
        <v>4</v>
      </c>
      <c r="J64" s="136"/>
    </row>
    <row r="65" spans="1:10">
      <c r="A65" s="138" t="s">
        <v>35</v>
      </c>
      <c r="B65" s="15" t="s">
        <v>36</v>
      </c>
      <c r="C65" s="15"/>
      <c r="D65" s="15" t="s">
        <v>90</v>
      </c>
      <c r="E65" s="15" t="s">
        <v>98</v>
      </c>
      <c r="F65" s="2">
        <f t="shared" si="10"/>
        <v>16</v>
      </c>
      <c r="G65" s="2">
        <f t="shared" si="9"/>
        <v>12</v>
      </c>
      <c r="H65" s="2">
        <f t="shared" si="11"/>
        <v>4</v>
      </c>
      <c r="I65" s="2">
        <v>4</v>
      </c>
      <c r="J65" s="136"/>
    </row>
    <row r="66" spans="1:10">
      <c r="A66" s="139"/>
      <c r="B66" s="15" t="s">
        <v>37</v>
      </c>
      <c r="C66" s="15"/>
      <c r="D66" s="15" t="s">
        <v>90</v>
      </c>
      <c r="E66" s="15" t="s">
        <v>98</v>
      </c>
      <c r="F66" s="2">
        <f t="shared" si="10"/>
        <v>16</v>
      </c>
      <c r="G66" s="2">
        <f t="shared" si="9"/>
        <v>12</v>
      </c>
      <c r="H66" s="2">
        <f t="shared" si="11"/>
        <v>4</v>
      </c>
      <c r="I66" s="2">
        <v>4</v>
      </c>
      <c r="J66" s="136"/>
    </row>
    <row r="67" spans="1:10">
      <c r="A67" s="140"/>
      <c r="B67" s="69" t="s">
        <v>38</v>
      </c>
      <c r="C67" s="15"/>
      <c r="D67" s="15" t="s">
        <v>90</v>
      </c>
      <c r="E67" s="15" t="s">
        <v>98</v>
      </c>
      <c r="F67" s="2">
        <f t="shared" si="10"/>
        <v>16</v>
      </c>
      <c r="G67" s="2">
        <f t="shared" si="9"/>
        <v>12</v>
      </c>
      <c r="H67" s="2">
        <f t="shared" si="11"/>
        <v>4</v>
      </c>
      <c r="I67" s="2">
        <v>4</v>
      </c>
      <c r="J67" s="136"/>
    </row>
    <row r="68" spans="1:10">
      <c r="A68" s="138" t="s">
        <v>39</v>
      </c>
      <c r="B68" s="15" t="s">
        <v>40</v>
      </c>
      <c r="C68" s="15"/>
      <c r="D68" s="15" t="s">
        <v>90</v>
      </c>
      <c r="E68" s="15" t="s">
        <v>98</v>
      </c>
      <c r="F68" s="2">
        <f t="shared" si="10"/>
        <v>11.5</v>
      </c>
      <c r="G68" s="2">
        <f t="shared" si="9"/>
        <v>8.625</v>
      </c>
      <c r="H68" s="2">
        <f t="shared" si="11"/>
        <v>2.875</v>
      </c>
      <c r="I68" s="2">
        <v>4</v>
      </c>
      <c r="J68" s="136"/>
    </row>
    <row r="69" spans="1:10">
      <c r="A69" s="139"/>
      <c r="B69" s="15" t="s">
        <v>41</v>
      </c>
      <c r="C69" s="15"/>
      <c r="D69" s="15" t="s">
        <v>90</v>
      </c>
      <c r="E69" s="15" t="s">
        <v>98</v>
      </c>
      <c r="F69" s="2">
        <f t="shared" si="10"/>
        <v>11.5</v>
      </c>
      <c r="G69" s="2">
        <f t="shared" si="9"/>
        <v>8.625</v>
      </c>
      <c r="H69" s="2">
        <f t="shared" si="11"/>
        <v>2.875</v>
      </c>
      <c r="I69" s="2">
        <v>4</v>
      </c>
      <c r="J69" s="136"/>
    </row>
    <row r="70" spans="1:10">
      <c r="A70" s="139"/>
      <c r="B70" s="15" t="s">
        <v>42</v>
      </c>
      <c r="C70" s="15"/>
      <c r="D70" s="15" t="s">
        <v>90</v>
      </c>
      <c r="E70" s="15" t="s">
        <v>98</v>
      </c>
      <c r="F70" s="2">
        <f t="shared" si="10"/>
        <v>11.5</v>
      </c>
      <c r="G70" s="2">
        <f t="shared" si="9"/>
        <v>8.625</v>
      </c>
      <c r="H70" s="2">
        <f t="shared" si="11"/>
        <v>2.875</v>
      </c>
      <c r="I70" s="2">
        <v>4</v>
      </c>
      <c r="J70" s="136"/>
    </row>
    <row r="71" spans="1:10">
      <c r="A71" s="140"/>
      <c r="B71" s="15" t="s">
        <v>43</v>
      </c>
      <c r="C71" s="15"/>
      <c r="D71" s="15" t="s">
        <v>90</v>
      </c>
      <c r="E71" s="15" t="s">
        <v>98</v>
      </c>
      <c r="F71" s="2">
        <f t="shared" si="10"/>
        <v>11.5</v>
      </c>
      <c r="G71" s="2">
        <f t="shared" si="9"/>
        <v>8.625</v>
      </c>
      <c r="H71" s="2">
        <f t="shared" si="11"/>
        <v>2.875</v>
      </c>
      <c r="I71" s="2">
        <v>4</v>
      </c>
      <c r="J71" s="136"/>
    </row>
    <row r="72" spans="1:10">
      <c r="A72" s="138" t="s">
        <v>44</v>
      </c>
      <c r="B72" s="15" t="s">
        <v>45</v>
      </c>
      <c r="C72" s="15"/>
      <c r="D72" s="15" t="s">
        <v>90</v>
      </c>
      <c r="E72" s="15" t="s">
        <v>98</v>
      </c>
      <c r="F72" s="2">
        <f t="shared" si="10"/>
        <v>10</v>
      </c>
      <c r="G72" s="2">
        <f t="shared" si="9"/>
        <v>7.5</v>
      </c>
      <c r="H72" s="2">
        <f t="shared" si="11"/>
        <v>2.5</v>
      </c>
      <c r="I72" s="2">
        <v>3</v>
      </c>
      <c r="J72" s="136"/>
    </row>
    <row r="73" spans="1:10">
      <c r="A73" s="139"/>
      <c r="B73" s="15" t="s">
        <v>46</v>
      </c>
      <c r="C73" s="15"/>
      <c r="D73" s="15" t="s">
        <v>90</v>
      </c>
      <c r="E73" s="15" t="s">
        <v>98</v>
      </c>
      <c r="F73" s="2">
        <f t="shared" si="10"/>
        <v>10</v>
      </c>
      <c r="G73" s="2">
        <f t="shared" si="9"/>
        <v>7.5</v>
      </c>
      <c r="H73" s="2">
        <f t="shared" si="11"/>
        <v>2.5</v>
      </c>
      <c r="I73" s="2">
        <v>3</v>
      </c>
      <c r="J73" s="136"/>
    </row>
    <row r="74" spans="1:10">
      <c r="A74" s="139"/>
      <c r="B74" s="15" t="s">
        <v>47</v>
      </c>
      <c r="C74" s="15"/>
      <c r="D74" s="15" t="s">
        <v>90</v>
      </c>
      <c r="E74" s="15" t="s">
        <v>98</v>
      </c>
      <c r="F74" s="2">
        <f t="shared" si="10"/>
        <v>10</v>
      </c>
      <c r="G74" s="2">
        <f t="shared" si="9"/>
        <v>7.5</v>
      </c>
      <c r="H74" s="2">
        <f t="shared" si="11"/>
        <v>2.5</v>
      </c>
      <c r="I74" s="2">
        <v>3</v>
      </c>
      <c r="J74" s="136"/>
    </row>
    <row r="75" spans="1:10">
      <c r="A75" s="139"/>
      <c r="B75" s="15" t="s">
        <v>48</v>
      </c>
      <c r="C75" s="15"/>
      <c r="D75" s="15" t="s">
        <v>90</v>
      </c>
      <c r="E75" s="15" t="s">
        <v>98</v>
      </c>
      <c r="F75" s="2">
        <f t="shared" si="10"/>
        <v>10</v>
      </c>
      <c r="G75" s="2">
        <f t="shared" si="9"/>
        <v>7.5</v>
      </c>
      <c r="H75" s="2">
        <f t="shared" si="11"/>
        <v>2.5</v>
      </c>
      <c r="I75" s="2">
        <v>3</v>
      </c>
      <c r="J75" s="136"/>
    </row>
    <row r="76" spans="1:10">
      <c r="A76" s="139"/>
      <c r="B76" s="15" t="s">
        <v>49</v>
      </c>
      <c r="C76" s="15"/>
      <c r="D76" s="15" t="s">
        <v>90</v>
      </c>
      <c r="E76" s="15" t="s">
        <v>98</v>
      </c>
      <c r="F76" s="2">
        <f t="shared" si="10"/>
        <v>10</v>
      </c>
      <c r="G76" s="2">
        <f t="shared" si="9"/>
        <v>7.5</v>
      </c>
      <c r="H76" s="2">
        <f t="shared" si="11"/>
        <v>2.5</v>
      </c>
      <c r="I76" s="2">
        <v>3</v>
      </c>
      <c r="J76" s="136"/>
    </row>
    <row r="77" spans="1:10">
      <c r="A77" s="139"/>
      <c r="B77" s="69" t="s">
        <v>50</v>
      </c>
      <c r="C77" s="15"/>
      <c r="D77" s="15" t="s">
        <v>90</v>
      </c>
      <c r="E77" s="15" t="s">
        <v>98</v>
      </c>
      <c r="F77" s="2">
        <f t="shared" si="10"/>
        <v>10</v>
      </c>
      <c r="G77" s="2">
        <f t="shared" si="9"/>
        <v>7.5</v>
      </c>
      <c r="H77" s="2">
        <f t="shared" si="11"/>
        <v>2.5</v>
      </c>
      <c r="I77" s="2">
        <v>3</v>
      </c>
      <c r="J77" s="136"/>
    </row>
    <row r="78" spans="1:10" ht="15.75" thickBot="1">
      <c r="A78" s="147"/>
      <c r="B78" s="27" t="s">
        <v>51</v>
      </c>
      <c r="C78" s="27"/>
      <c r="D78" s="27" t="s">
        <v>90</v>
      </c>
      <c r="E78" s="27" t="s">
        <v>98</v>
      </c>
      <c r="F78" s="28">
        <f t="shared" si="10"/>
        <v>10</v>
      </c>
      <c r="G78" s="28">
        <f t="shared" si="9"/>
        <v>7.5</v>
      </c>
      <c r="H78" s="28">
        <f t="shared" si="11"/>
        <v>2.5</v>
      </c>
      <c r="I78" s="28">
        <v>3</v>
      </c>
      <c r="J78" s="137"/>
    </row>
    <row r="79" spans="1:10">
      <c r="A79" s="21" t="s">
        <v>26</v>
      </c>
      <c r="B79" s="22" t="s">
        <v>27</v>
      </c>
      <c r="C79" s="22"/>
      <c r="D79" s="22" t="s">
        <v>98</v>
      </c>
      <c r="E79" s="22" t="s">
        <v>98</v>
      </c>
      <c r="F79" s="24">
        <f t="shared" ref="F79:F97" si="12">F12+3</f>
        <v>4.5</v>
      </c>
      <c r="G79" s="24">
        <f t="shared" si="9"/>
        <v>3.375</v>
      </c>
      <c r="H79" s="24">
        <f t="shared" ref="H79:H97" si="13">F79*25%</f>
        <v>1.125</v>
      </c>
      <c r="I79" s="24">
        <v>0.5</v>
      </c>
      <c r="J79" s="152" t="s">
        <v>89</v>
      </c>
    </row>
    <row r="80" spans="1:10">
      <c r="A80" s="25" t="s">
        <v>28</v>
      </c>
      <c r="B80" s="15" t="s">
        <v>29</v>
      </c>
      <c r="C80" s="15"/>
      <c r="D80" s="15" t="s">
        <v>98</v>
      </c>
      <c r="E80" s="15" t="s">
        <v>98</v>
      </c>
      <c r="F80" s="2">
        <f t="shared" si="12"/>
        <v>10</v>
      </c>
      <c r="G80" s="2">
        <f t="shared" si="9"/>
        <v>7.5</v>
      </c>
      <c r="H80" s="2">
        <f t="shared" si="13"/>
        <v>2.5</v>
      </c>
      <c r="I80" s="2">
        <v>3</v>
      </c>
      <c r="J80" s="149"/>
    </row>
    <row r="81" spans="1:10">
      <c r="A81" s="25" t="s">
        <v>30</v>
      </c>
      <c r="B81" s="15" t="s">
        <v>31</v>
      </c>
      <c r="C81" s="15"/>
      <c r="D81" s="15" t="s">
        <v>98</v>
      </c>
      <c r="E81" s="15" t="s">
        <v>98</v>
      </c>
      <c r="F81" s="2">
        <f t="shared" si="12"/>
        <v>14.5</v>
      </c>
      <c r="G81" s="2">
        <f t="shared" si="9"/>
        <v>10.875</v>
      </c>
      <c r="H81" s="2">
        <f t="shared" si="13"/>
        <v>3.625</v>
      </c>
      <c r="I81" s="2">
        <v>4</v>
      </c>
      <c r="J81" s="149"/>
    </row>
    <row r="82" spans="1:10">
      <c r="A82" s="25" t="s">
        <v>32</v>
      </c>
      <c r="B82" s="15" t="s">
        <v>32</v>
      </c>
      <c r="C82" s="15"/>
      <c r="D82" s="15" t="s">
        <v>98</v>
      </c>
      <c r="E82" s="15" t="s">
        <v>98</v>
      </c>
      <c r="F82" s="2">
        <f t="shared" si="12"/>
        <v>14.5</v>
      </c>
      <c r="G82" s="2">
        <f t="shared" si="9"/>
        <v>10.875</v>
      </c>
      <c r="H82" s="2">
        <f t="shared" si="13"/>
        <v>3.625</v>
      </c>
      <c r="I82" s="2">
        <v>3</v>
      </c>
      <c r="J82" s="149"/>
    </row>
    <row r="83" spans="1:10">
      <c r="A83" s="25" t="s">
        <v>33</v>
      </c>
      <c r="B83" s="15" t="s">
        <v>34</v>
      </c>
      <c r="C83" s="15"/>
      <c r="D83" s="15" t="s">
        <v>98</v>
      </c>
      <c r="E83" s="15" t="s">
        <v>98</v>
      </c>
      <c r="F83" s="2">
        <f t="shared" si="12"/>
        <v>16</v>
      </c>
      <c r="G83" s="2">
        <f t="shared" si="9"/>
        <v>12</v>
      </c>
      <c r="H83" s="2">
        <f t="shared" si="13"/>
        <v>4</v>
      </c>
      <c r="I83" s="2">
        <v>4</v>
      </c>
      <c r="J83" s="149"/>
    </row>
    <row r="84" spans="1:10">
      <c r="A84" s="138" t="s">
        <v>35</v>
      </c>
      <c r="B84" s="15" t="s">
        <v>36</v>
      </c>
      <c r="C84" s="15"/>
      <c r="D84" s="15" t="s">
        <v>98</v>
      </c>
      <c r="E84" s="15" t="s">
        <v>98</v>
      </c>
      <c r="F84" s="2">
        <f t="shared" si="12"/>
        <v>18</v>
      </c>
      <c r="G84" s="2">
        <f t="shared" si="9"/>
        <v>13.5</v>
      </c>
      <c r="H84" s="2">
        <f t="shared" si="13"/>
        <v>4.5</v>
      </c>
      <c r="I84" s="2">
        <v>4</v>
      </c>
      <c r="J84" s="149"/>
    </row>
    <row r="85" spans="1:10">
      <c r="A85" s="139"/>
      <c r="B85" s="15" t="s">
        <v>37</v>
      </c>
      <c r="C85" s="15"/>
      <c r="D85" s="15" t="s">
        <v>98</v>
      </c>
      <c r="E85" s="15" t="s">
        <v>98</v>
      </c>
      <c r="F85" s="2">
        <f t="shared" si="12"/>
        <v>18</v>
      </c>
      <c r="G85" s="2">
        <f t="shared" si="9"/>
        <v>13.5</v>
      </c>
      <c r="H85" s="2">
        <f t="shared" si="13"/>
        <v>4.5</v>
      </c>
      <c r="I85" s="2">
        <v>4</v>
      </c>
      <c r="J85" s="149"/>
    </row>
    <row r="86" spans="1:10">
      <c r="A86" s="140"/>
      <c r="B86" s="69" t="s">
        <v>38</v>
      </c>
      <c r="C86" s="15"/>
      <c r="D86" s="15" t="s">
        <v>98</v>
      </c>
      <c r="E86" s="15" t="s">
        <v>98</v>
      </c>
      <c r="F86" s="2">
        <f t="shared" si="12"/>
        <v>18</v>
      </c>
      <c r="G86" s="2">
        <f t="shared" si="9"/>
        <v>13.5</v>
      </c>
      <c r="H86" s="2">
        <f t="shared" si="13"/>
        <v>4.5</v>
      </c>
      <c r="I86" s="2">
        <v>4</v>
      </c>
      <c r="J86" s="149"/>
    </row>
    <row r="87" spans="1:10">
      <c r="A87" s="138" t="s">
        <v>39</v>
      </c>
      <c r="B87" s="15" t="s">
        <v>40</v>
      </c>
      <c r="C87" s="15"/>
      <c r="D87" s="15" t="s">
        <v>98</v>
      </c>
      <c r="E87" s="15" t="s">
        <v>98</v>
      </c>
      <c r="F87" s="2">
        <f t="shared" si="12"/>
        <v>13.5</v>
      </c>
      <c r="G87" s="2">
        <f t="shared" si="9"/>
        <v>10.125</v>
      </c>
      <c r="H87" s="2">
        <f t="shared" si="13"/>
        <v>3.375</v>
      </c>
      <c r="I87" s="2">
        <v>4</v>
      </c>
      <c r="J87" s="149"/>
    </row>
    <row r="88" spans="1:10">
      <c r="A88" s="139"/>
      <c r="B88" s="15" t="s">
        <v>41</v>
      </c>
      <c r="C88" s="15"/>
      <c r="D88" s="15" t="s">
        <v>98</v>
      </c>
      <c r="E88" s="15" t="s">
        <v>98</v>
      </c>
      <c r="F88" s="2">
        <f t="shared" si="12"/>
        <v>13.5</v>
      </c>
      <c r="G88" s="2">
        <f t="shared" si="9"/>
        <v>10.125</v>
      </c>
      <c r="H88" s="2">
        <f t="shared" si="13"/>
        <v>3.375</v>
      </c>
      <c r="I88" s="2">
        <v>4</v>
      </c>
      <c r="J88" s="149"/>
    </row>
    <row r="89" spans="1:10">
      <c r="A89" s="139"/>
      <c r="B89" s="15" t="s">
        <v>42</v>
      </c>
      <c r="C89" s="15"/>
      <c r="D89" s="15" t="s">
        <v>98</v>
      </c>
      <c r="E89" s="15" t="s">
        <v>98</v>
      </c>
      <c r="F89" s="2">
        <f t="shared" si="12"/>
        <v>13.5</v>
      </c>
      <c r="G89" s="2">
        <f t="shared" si="9"/>
        <v>10.125</v>
      </c>
      <c r="H89" s="2">
        <f t="shared" si="13"/>
        <v>3.375</v>
      </c>
      <c r="I89" s="2">
        <v>4</v>
      </c>
      <c r="J89" s="149"/>
    </row>
    <row r="90" spans="1:10">
      <c r="A90" s="140"/>
      <c r="B90" s="15" t="s">
        <v>43</v>
      </c>
      <c r="C90" s="15"/>
      <c r="D90" s="15" t="s">
        <v>98</v>
      </c>
      <c r="E90" s="15" t="s">
        <v>98</v>
      </c>
      <c r="F90" s="2">
        <f t="shared" si="12"/>
        <v>13.5</v>
      </c>
      <c r="G90" s="2">
        <f t="shared" si="9"/>
        <v>10.125</v>
      </c>
      <c r="H90" s="2">
        <f t="shared" si="13"/>
        <v>3.375</v>
      </c>
      <c r="I90" s="2">
        <v>4</v>
      </c>
      <c r="J90" s="149"/>
    </row>
    <row r="91" spans="1:10">
      <c r="A91" s="138" t="s">
        <v>44</v>
      </c>
      <c r="B91" s="15" t="s">
        <v>45</v>
      </c>
      <c r="C91" s="15"/>
      <c r="D91" s="15" t="s">
        <v>98</v>
      </c>
      <c r="E91" s="15" t="s">
        <v>98</v>
      </c>
      <c r="F91" s="2">
        <f t="shared" si="12"/>
        <v>12</v>
      </c>
      <c r="G91" s="2">
        <f t="shared" si="9"/>
        <v>9</v>
      </c>
      <c r="H91" s="2">
        <f t="shared" si="13"/>
        <v>3</v>
      </c>
      <c r="I91" s="2">
        <v>3</v>
      </c>
      <c r="J91" s="149"/>
    </row>
    <row r="92" spans="1:10">
      <c r="A92" s="139"/>
      <c r="B92" s="15" t="s">
        <v>46</v>
      </c>
      <c r="C92" s="15"/>
      <c r="D92" s="15" t="s">
        <v>98</v>
      </c>
      <c r="E92" s="15" t="s">
        <v>98</v>
      </c>
      <c r="F92" s="2">
        <f t="shared" si="12"/>
        <v>12</v>
      </c>
      <c r="G92" s="2">
        <f t="shared" si="9"/>
        <v>9</v>
      </c>
      <c r="H92" s="2">
        <f t="shared" si="13"/>
        <v>3</v>
      </c>
      <c r="I92" s="2">
        <v>3</v>
      </c>
      <c r="J92" s="149"/>
    </row>
    <row r="93" spans="1:10">
      <c r="A93" s="139"/>
      <c r="B93" s="15" t="s">
        <v>47</v>
      </c>
      <c r="C93" s="15"/>
      <c r="D93" s="15" t="s">
        <v>98</v>
      </c>
      <c r="E93" s="15" t="s">
        <v>98</v>
      </c>
      <c r="F93" s="2">
        <f t="shared" si="12"/>
        <v>12</v>
      </c>
      <c r="G93" s="2">
        <f t="shared" si="9"/>
        <v>9</v>
      </c>
      <c r="H93" s="2">
        <f t="shared" si="13"/>
        <v>3</v>
      </c>
      <c r="I93" s="2">
        <v>3</v>
      </c>
      <c r="J93" s="149"/>
    </row>
    <row r="94" spans="1:10">
      <c r="A94" s="139"/>
      <c r="B94" s="15" t="s">
        <v>48</v>
      </c>
      <c r="C94" s="15"/>
      <c r="D94" s="15" t="s">
        <v>98</v>
      </c>
      <c r="E94" s="15" t="s">
        <v>98</v>
      </c>
      <c r="F94" s="2">
        <f t="shared" si="12"/>
        <v>12</v>
      </c>
      <c r="G94" s="2">
        <f t="shared" si="9"/>
        <v>9</v>
      </c>
      <c r="H94" s="2">
        <f t="shared" si="13"/>
        <v>3</v>
      </c>
      <c r="I94" s="2">
        <v>3</v>
      </c>
      <c r="J94" s="149"/>
    </row>
    <row r="95" spans="1:10">
      <c r="A95" s="139"/>
      <c r="B95" s="15" t="s">
        <v>49</v>
      </c>
      <c r="C95" s="15"/>
      <c r="D95" s="15" t="s">
        <v>98</v>
      </c>
      <c r="E95" s="15" t="s">
        <v>98</v>
      </c>
      <c r="F95" s="2">
        <f t="shared" si="12"/>
        <v>12</v>
      </c>
      <c r="G95" s="2">
        <f t="shared" si="9"/>
        <v>9</v>
      </c>
      <c r="H95" s="2">
        <f t="shared" si="13"/>
        <v>3</v>
      </c>
      <c r="I95" s="2">
        <v>3</v>
      </c>
      <c r="J95" s="149"/>
    </row>
    <row r="96" spans="1:10">
      <c r="A96" s="139"/>
      <c r="B96" s="69" t="s">
        <v>50</v>
      </c>
      <c r="C96" s="15"/>
      <c r="D96" s="15" t="s">
        <v>98</v>
      </c>
      <c r="E96" s="15" t="s">
        <v>98</v>
      </c>
      <c r="F96" s="2">
        <f t="shared" si="12"/>
        <v>12</v>
      </c>
      <c r="G96" s="2">
        <f t="shared" si="9"/>
        <v>9</v>
      </c>
      <c r="H96" s="2">
        <f t="shared" si="13"/>
        <v>3</v>
      </c>
      <c r="I96" s="2">
        <v>3</v>
      </c>
      <c r="J96" s="149"/>
    </row>
    <row r="97" spans="1:10" ht="15.75" thickBot="1">
      <c r="A97" s="147"/>
      <c r="B97" s="27" t="s">
        <v>51</v>
      </c>
      <c r="C97" s="27"/>
      <c r="D97" s="27" t="s">
        <v>98</v>
      </c>
      <c r="E97" s="27" t="s">
        <v>98</v>
      </c>
      <c r="F97" s="28">
        <f t="shared" si="12"/>
        <v>12</v>
      </c>
      <c r="G97" s="28">
        <f t="shared" si="9"/>
        <v>9</v>
      </c>
      <c r="H97" s="28">
        <f t="shared" si="13"/>
        <v>3</v>
      </c>
      <c r="I97" s="28">
        <v>3</v>
      </c>
      <c r="J97" s="150"/>
    </row>
    <row r="98" spans="1:10">
      <c r="A98" s="29" t="s">
        <v>13</v>
      </c>
      <c r="B98" s="30" t="s">
        <v>14</v>
      </c>
      <c r="C98" s="31"/>
      <c r="D98" s="30"/>
      <c r="E98" s="30"/>
      <c r="F98" s="32">
        <v>4.5</v>
      </c>
      <c r="G98" s="32">
        <f t="shared" si="9"/>
        <v>3.375</v>
      </c>
      <c r="H98" s="32">
        <f>F98*25%</f>
        <v>1.125</v>
      </c>
      <c r="I98" s="32">
        <v>3</v>
      </c>
      <c r="J98" s="153" t="s">
        <v>99</v>
      </c>
    </row>
    <row r="99" spans="1:10">
      <c r="A99" s="156" t="s">
        <v>17</v>
      </c>
      <c r="B99" s="19" t="s">
        <v>18</v>
      </c>
      <c r="C99" s="19"/>
      <c r="D99" s="19"/>
      <c r="E99" s="19"/>
      <c r="F99" s="4">
        <v>5</v>
      </c>
      <c r="G99" s="4">
        <f t="shared" si="9"/>
        <v>3.75</v>
      </c>
      <c r="H99" s="4">
        <f t="shared" ref="H99:H131" si="14">F99*25%</f>
        <v>1.25</v>
      </c>
      <c r="I99" s="4">
        <v>3</v>
      </c>
      <c r="J99" s="154"/>
    </row>
    <row r="100" spans="1:10">
      <c r="A100" s="157"/>
      <c r="B100" s="19" t="s">
        <v>19</v>
      </c>
      <c r="C100" s="19"/>
      <c r="D100" s="19"/>
      <c r="E100" s="19"/>
      <c r="F100" s="4">
        <v>5</v>
      </c>
      <c r="G100" s="4">
        <f t="shared" si="9"/>
        <v>3.75</v>
      </c>
      <c r="H100" s="4">
        <f t="shared" si="14"/>
        <v>1.25</v>
      </c>
      <c r="I100" s="4">
        <v>3</v>
      </c>
      <c r="J100" s="154"/>
    </row>
    <row r="101" spans="1:10">
      <c r="A101" s="157"/>
      <c r="B101" s="19" t="s">
        <v>20</v>
      </c>
      <c r="C101" s="19"/>
      <c r="D101" s="19"/>
      <c r="E101" s="19"/>
      <c r="F101" s="4">
        <v>5</v>
      </c>
      <c r="G101" s="4">
        <f t="shared" si="9"/>
        <v>3.75</v>
      </c>
      <c r="H101" s="4">
        <f t="shared" si="14"/>
        <v>1.25</v>
      </c>
      <c r="I101" s="4">
        <v>3</v>
      </c>
      <c r="J101" s="154"/>
    </row>
    <row r="102" spans="1:10">
      <c r="A102" s="157"/>
      <c r="B102" s="70" t="s">
        <v>21</v>
      </c>
      <c r="C102" s="19"/>
      <c r="D102" s="19"/>
      <c r="E102" s="19"/>
      <c r="F102" s="4">
        <v>5</v>
      </c>
      <c r="G102" s="4">
        <f t="shared" si="9"/>
        <v>3.75</v>
      </c>
      <c r="H102" s="4">
        <f t="shared" si="14"/>
        <v>1.25</v>
      </c>
      <c r="I102" s="4">
        <v>3</v>
      </c>
      <c r="J102" s="154"/>
    </row>
    <row r="103" spans="1:10">
      <c r="A103" s="157"/>
      <c r="B103" s="19" t="s">
        <v>22</v>
      </c>
      <c r="C103" s="19"/>
      <c r="D103" s="19"/>
      <c r="E103" s="19"/>
      <c r="F103" s="4">
        <v>5</v>
      </c>
      <c r="G103" s="4">
        <f t="shared" si="9"/>
        <v>3.75</v>
      </c>
      <c r="H103" s="4">
        <f t="shared" si="14"/>
        <v>1.25</v>
      </c>
      <c r="I103" s="4">
        <v>3</v>
      </c>
      <c r="J103" s="154"/>
    </row>
    <row r="104" spans="1:10">
      <c r="A104" s="157"/>
      <c r="B104" s="19" t="s">
        <v>23</v>
      </c>
      <c r="C104" s="19"/>
      <c r="D104" s="19"/>
      <c r="E104" s="19"/>
      <c r="F104" s="4">
        <v>5</v>
      </c>
      <c r="G104" s="4">
        <f t="shared" si="9"/>
        <v>3.75</v>
      </c>
      <c r="H104" s="4">
        <f t="shared" si="14"/>
        <v>1.25</v>
      </c>
      <c r="I104" s="4">
        <v>3</v>
      </c>
      <c r="J104" s="154"/>
    </row>
    <row r="105" spans="1:10">
      <c r="A105" s="157"/>
      <c r="B105" s="19" t="s">
        <v>24</v>
      </c>
      <c r="C105" s="19"/>
      <c r="D105" s="19"/>
      <c r="E105" s="19"/>
      <c r="F105" s="4">
        <v>5</v>
      </c>
      <c r="G105" s="4">
        <f t="shared" si="9"/>
        <v>3.75</v>
      </c>
      <c r="H105" s="4">
        <f t="shared" si="14"/>
        <v>1.25</v>
      </c>
      <c r="I105" s="4">
        <v>3</v>
      </c>
      <c r="J105" s="154"/>
    </row>
    <row r="106" spans="1:10">
      <c r="A106" s="158"/>
      <c r="B106" s="19" t="s">
        <v>25</v>
      </c>
      <c r="C106" s="19"/>
      <c r="D106" s="19"/>
      <c r="E106" s="19"/>
      <c r="F106" s="4">
        <v>5</v>
      </c>
      <c r="G106" s="4">
        <f t="shared" si="9"/>
        <v>3.75</v>
      </c>
      <c r="H106" s="4">
        <f t="shared" si="14"/>
        <v>1.25</v>
      </c>
      <c r="I106" s="4">
        <v>3</v>
      </c>
      <c r="J106" s="154"/>
    </row>
    <row r="107" spans="1:10">
      <c r="A107" s="33" t="s">
        <v>26</v>
      </c>
      <c r="B107" s="19" t="s">
        <v>27</v>
      </c>
      <c r="C107" s="19"/>
      <c r="D107" s="19" t="s">
        <v>90</v>
      </c>
      <c r="E107" s="19" t="s">
        <v>90</v>
      </c>
      <c r="F107" s="4">
        <v>1.5</v>
      </c>
      <c r="G107" s="4">
        <f t="shared" si="9"/>
        <v>1.125</v>
      </c>
      <c r="H107" s="4">
        <f t="shared" si="14"/>
        <v>0.375</v>
      </c>
      <c r="I107" s="4">
        <v>0.5</v>
      </c>
      <c r="J107" s="154"/>
    </row>
    <row r="108" spans="1:10">
      <c r="A108" s="33" t="s">
        <v>28</v>
      </c>
      <c r="B108" s="19" t="s">
        <v>29</v>
      </c>
      <c r="C108" s="19"/>
      <c r="D108" s="19" t="s">
        <v>90</v>
      </c>
      <c r="E108" s="19" t="s">
        <v>90</v>
      </c>
      <c r="F108" s="4">
        <v>10</v>
      </c>
      <c r="G108" s="4">
        <f t="shared" si="9"/>
        <v>7.5</v>
      </c>
      <c r="H108" s="4">
        <f t="shared" si="14"/>
        <v>2.5</v>
      </c>
      <c r="I108" s="4">
        <v>3</v>
      </c>
      <c r="J108" s="154"/>
    </row>
    <row r="109" spans="1:10">
      <c r="A109" s="33" t="s">
        <v>30</v>
      </c>
      <c r="B109" s="19" t="s">
        <v>31</v>
      </c>
      <c r="C109" s="19"/>
      <c r="D109" s="19" t="s">
        <v>90</v>
      </c>
      <c r="E109" s="19" t="s">
        <v>90</v>
      </c>
      <c r="F109" s="4">
        <v>15.5</v>
      </c>
      <c r="G109" s="4">
        <f t="shared" si="9"/>
        <v>11.625</v>
      </c>
      <c r="H109" s="4">
        <f t="shared" si="14"/>
        <v>3.875</v>
      </c>
      <c r="I109" s="4">
        <v>4</v>
      </c>
      <c r="J109" s="154"/>
    </row>
    <row r="110" spans="1:10">
      <c r="A110" s="33" t="s">
        <v>32</v>
      </c>
      <c r="B110" s="19" t="s">
        <v>32</v>
      </c>
      <c r="C110" s="19"/>
      <c r="D110" s="19" t="s">
        <v>90</v>
      </c>
      <c r="E110" s="19" t="s">
        <v>90</v>
      </c>
      <c r="F110" s="4">
        <v>15.5</v>
      </c>
      <c r="G110" s="4">
        <f t="shared" si="9"/>
        <v>11.625</v>
      </c>
      <c r="H110" s="4">
        <f t="shared" si="14"/>
        <v>3.875</v>
      </c>
      <c r="I110" s="4">
        <v>3</v>
      </c>
      <c r="J110" s="154"/>
    </row>
    <row r="111" spans="1:10">
      <c r="A111" s="33" t="s">
        <v>33</v>
      </c>
      <c r="B111" s="19" t="s">
        <v>34</v>
      </c>
      <c r="C111" s="19"/>
      <c r="D111" s="19" t="s">
        <v>90</v>
      </c>
      <c r="E111" s="19" t="s">
        <v>90</v>
      </c>
      <c r="F111" s="4">
        <v>15.5</v>
      </c>
      <c r="G111" s="4">
        <f t="shared" si="9"/>
        <v>11.625</v>
      </c>
      <c r="H111" s="4">
        <f t="shared" si="14"/>
        <v>3.875</v>
      </c>
      <c r="I111" s="4">
        <v>4</v>
      </c>
      <c r="J111" s="154"/>
    </row>
    <row r="112" spans="1:10">
      <c r="A112" s="156" t="s">
        <v>35</v>
      </c>
      <c r="B112" s="19" t="s">
        <v>36</v>
      </c>
      <c r="C112" s="19"/>
      <c r="D112" s="19" t="s">
        <v>90</v>
      </c>
      <c r="E112" s="19" t="s">
        <v>90</v>
      </c>
      <c r="F112" s="4">
        <v>15</v>
      </c>
      <c r="G112" s="4">
        <f t="shared" si="9"/>
        <v>11.25</v>
      </c>
      <c r="H112" s="4">
        <f t="shared" si="14"/>
        <v>3.75</v>
      </c>
      <c r="I112" s="4">
        <v>4</v>
      </c>
      <c r="J112" s="154"/>
    </row>
    <row r="113" spans="1:10">
      <c r="A113" s="157"/>
      <c r="B113" s="19" t="s">
        <v>37</v>
      </c>
      <c r="C113" s="19"/>
      <c r="D113" s="19" t="s">
        <v>90</v>
      </c>
      <c r="E113" s="19" t="s">
        <v>90</v>
      </c>
      <c r="F113" s="4">
        <v>15</v>
      </c>
      <c r="G113" s="4">
        <f t="shared" si="9"/>
        <v>11.25</v>
      </c>
      <c r="H113" s="4">
        <f t="shared" si="14"/>
        <v>3.75</v>
      </c>
      <c r="I113" s="4">
        <v>4</v>
      </c>
      <c r="J113" s="154"/>
    </row>
    <row r="114" spans="1:10">
      <c r="A114" s="158"/>
      <c r="B114" s="70" t="s">
        <v>38</v>
      </c>
      <c r="C114" s="19"/>
      <c r="D114" s="19" t="s">
        <v>90</v>
      </c>
      <c r="E114" s="19" t="s">
        <v>90</v>
      </c>
      <c r="F114" s="4">
        <v>15</v>
      </c>
      <c r="G114" s="4">
        <f t="shared" si="9"/>
        <v>11.25</v>
      </c>
      <c r="H114" s="4">
        <f t="shared" si="14"/>
        <v>3.75</v>
      </c>
      <c r="I114" s="4">
        <v>4</v>
      </c>
      <c r="J114" s="154"/>
    </row>
    <row r="115" spans="1:10">
      <c r="A115" s="156" t="s">
        <v>39</v>
      </c>
      <c r="B115" s="19" t="s">
        <v>40</v>
      </c>
      <c r="C115" s="19"/>
      <c r="D115" s="19" t="s">
        <v>90</v>
      </c>
      <c r="E115" s="19" t="s">
        <v>90</v>
      </c>
      <c r="F115" s="4">
        <v>10.5</v>
      </c>
      <c r="G115" s="4">
        <f t="shared" si="9"/>
        <v>7.875</v>
      </c>
      <c r="H115" s="4">
        <f t="shared" si="14"/>
        <v>2.625</v>
      </c>
      <c r="I115" s="4">
        <v>4</v>
      </c>
      <c r="J115" s="154"/>
    </row>
    <row r="116" spans="1:10">
      <c r="A116" s="157"/>
      <c r="B116" s="19" t="s">
        <v>41</v>
      </c>
      <c r="C116" s="19"/>
      <c r="D116" s="19" t="s">
        <v>90</v>
      </c>
      <c r="E116" s="19" t="s">
        <v>90</v>
      </c>
      <c r="F116" s="4">
        <v>10.5</v>
      </c>
      <c r="G116" s="4">
        <f t="shared" si="9"/>
        <v>7.875</v>
      </c>
      <c r="H116" s="4">
        <f t="shared" si="14"/>
        <v>2.625</v>
      </c>
      <c r="I116" s="4">
        <v>4</v>
      </c>
      <c r="J116" s="154"/>
    </row>
    <row r="117" spans="1:10">
      <c r="A117" s="157"/>
      <c r="B117" s="19" t="s">
        <v>42</v>
      </c>
      <c r="C117" s="19"/>
      <c r="D117" s="19" t="s">
        <v>90</v>
      </c>
      <c r="E117" s="19" t="s">
        <v>90</v>
      </c>
      <c r="F117" s="4">
        <v>10.5</v>
      </c>
      <c r="G117" s="4">
        <f t="shared" si="9"/>
        <v>7.875</v>
      </c>
      <c r="H117" s="4">
        <f t="shared" si="14"/>
        <v>2.625</v>
      </c>
      <c r="I117" s="4">
        <v>4</v>
      </c>
      <c r="J117" s="154"/>
    </row>
    <row r="118" spans="1:10">
      <c r="A118" s="158"/>
      <c r="B118" s="19" t="s">
        <v>43</v>
      </c>
      <c r="C118" s="19"/>
      <c r="D118" s="19" t="s">
        <v>90</v>
      </c>
      <c r="E118" s="19" t="s">
        <v>90</v>
      </c>
      <c r="F118" s="4">
        <v>10.5</v>
      </c>
      <c r="G118" s="4">
        <f t="shared" si="9"/>
        <v>7.875</v>
      </c>
      <c r="H118" s="4">
        <f t="shared" si="14"/>
        <v>2.625</v>
      </c>
      <c r="I118" s="4">
        <v>4</v>
      </c>
      <c r="J118" s="154"/>
    </row>
    <row r="119" spans="1:10">
      <c r="A119" s="156" t="s">
        <v>44</v>
      </c>
      <c r="B119" s="19" t="s">
        <v>45</v>
      </c>
      <c r="C119" s="19"/>
      <c r="D119" s="19" t="s">
        <v>90</v>
      </c>
      <c r="E119" s="19" t="s">
        <v>90</v>
      </c>
      <c r="F119" s="4">
        <v>11.5</v>
      </c>
      <c r="G119" s="4">
        <f t="shared" si="9"/>
        <v>8.625</v>
      </c>
      <c r="H119" s="4">
        <f t="shared" si="14"/>
        <v>2.875</v>
      </c>
      <c r="I119" s="4">
        <v>3</v>
      </c>
      <c r="J119" s="154"/>
    </row>
    <row r="120" spans="1:10">
      <c r="A120" s="157"/>
      <c r="B120" s="19" t="s">
        <v>46</v>
      </c>
      <c r="C120" s="19"/>
      <c r="D120" s="19" t="s">
        <v>90</v>
      </c>
      <c r="E120" s="19" t="s">
        <v>90</v>
      </c>
      <c r="F120" s="4">
        <v>11.5</v>
      </c>
      <c r="G120" s="4">
        <f t="shared" si="9"/>
        <v>8.625</v>
      </c>
      <c r="H120" s="4">
        <f t="shared" si="14"/>
        <v>2.875</v>
      </c>
      <c r="I120" s="4">
        <v>3</v>
      </c>
      <c r="J120" s="154"/>
    </row>
    <row r="121" spans="1:10">
      <c r="A121" s="157"/>
      <c r="B121" s="19" t="s">
        <v>47</v>
      </c>
      <c r="C121" s="19"/>
      <c r="D121" s="19" t="s">
        <v>90</v>
      </c>
      <c r="E121" s="19" t="s">
        <v>90</v>
      </c>
      <c r="F121" s="4">
        <v>11.5</v>
      </c>
      <c r="G121" s="4">
        <f t="shared" si="9"/>
        <v>8.625</v>
      </c>
      <c r="H121" s="4">
        <f t="shared" si="14"/>
        <v>2.875</v>
      </c>
      <c r="I121" s="4">
        <v>3</v>
      </c>
      <c r="J121" s="154"/>
    </row>
    <row r="122" spans="1:10">
      <c r="A122" s="157"/>
      <c r="B122" s="19" t="s">
        <v>48</v>
      </c>
      <c r="C122" s="19"/>
      <c r="D122" s="19" t="s">
        <v>90</v>
      </c>
      <c r="E122" s="19" t="s">
        <v>90</v>
      </c>
      <c r="F122" s="4">
        <v>11.5</v>
      </c>
      <c r="G122" s="4">
        <f t="shared" ref="G122:G167" si="15">F122*75%</f>
        <v>8.625</v>
      </c>
      <c r="H122" s="4">
        <f t="shared" si="14"/>
        <v>2.875</v>
      </c>
      <c r="I122" s="4">
        <v>3</v>
      </c>
      <c r="J122" s="154"/>
    </row>
    <row r="123" spans="1:10">
      <c r="A123" s="157"/>
      <c r="B123" s="19" t="s">
        <v>49</v>
      </c>
      <c r="C123" s="19"/>
      <c r="D123" s="19" t="s">
        <v>90</v>
      </c>
      <c r="E123" s="19" t="s">
        <v>90</v>
      </c>
      <c r="F123" s="4">
        <v>11.5</v>
      </c>
      <c r="G123" s="4">
        <f t="shared" si="15"/>
        <v>8.625</v>
      </c>
      <c r="H123" s="4">
        <f t="shared" si="14"/>
        <v>2.875</v>
      </c>
      <c r="I123" s="4">
        <v>3</v>
      </c>
      <c r="J123" s="154"/>
    </row>
    <row r="124" spans="1:10">
      <c r="A124" s="157"/>
      <c r="B124" s="70" t="s">
        <v>50</v>
      </c>
      <c r="C124" s="19"/>
      <c r="D124" s="19" t="s">
        <v>90</v>
      </c>
      <c r="E124" s="19" t="s">
        <v>90</v>
      </c>
      <c r="F124" s="4">
        <v>11.5</v>
      </c>
      <c r="G124" s="4">
        <f t="shared" si="15"/>
        <v>8.625</v>
      </c>
      <c r="H124" s="4">
        <f t="shared" si="14"/>
        <v>2.875</v>
      </c>
      <c r="I124" s="4">
        <v>3</v>
      </c>
      <c r="J124" s="154"/>
    </row>
    <row r="125" spans="1:10">
      <c r="A125" s="158"/>
      <c r="B125" s="19" t="s">
        <v>51</v>
      </c>
      <c r="C125" s="19"/>
      <c r="D125" s="19" t="s">
        <v>90</v>
      </c>
      <c r="E125" s="19" t="s">
        <v>90</v>
      </c>
      <c r="F125" s="4">
        <v>11.5</v>
      </c>
      <c r="G125" s="4">
        <f t="shared" si="15"/>
        <v>8.625</v>
      </c>
      <c r="H125" s="4">
        <f t="shared" si="14"/>
        <v>2.875</v>
      </c>
      <c r="I125" s="4">
        <v>3</v>
      </c>
      <c r="J125" s="154"/>
    </row>
    <row r="126" spans="1:10">
      <c r="A126" s="159" t="s">
        <v>78</v>
      </c>
      <c r="B126" s="162" t="s">
        <v>79</v>
      </c>
      <c r="C126" s="20" t="s">
        <v>91</v>
      </c>
      <c r="D126" s="19" t="s">
        <v>90</v>
      </c>
      <c r="E126" s="19"/>
      <c r="F126" s="4">
        <v>8</v>
      </c>
      <c r="G126" s="4">
        <f t="shared" si="15"/>
        <v>6</v>
      </c>
      <c r="H126" s="4">
        <f t="shared" si="14"/>
        <v>2</v>
      </c>
      <c r="I126" s="4">
        <v>2</v>
      </c>
      <c r="J126" s="154"/>
    </row>
    <row r="127" spans="1:10" ht="30">
      <c r="A127" s="160"/>
      <c r="B127" s="163"/>
      <c r="C127" s="20" t="s">
        <v>92</v>
      </c>
      <c r="D127" s="19" t="s">
        <v>90</v>
      </c>
      <c r="E127" s="19"/>
      <c r="F127" s="4">
        <v>8</v>
      </c>
      <c r="G127" s="4">
        <f t="shared" si="15"/>
        <v>6</v>
      </c>
      <c r="H127" s="4">
        <f t="shared" si="14"/>
        <v>2</v>
      </c>
      <c r="I127" s="4">
        <v>2</v>
      </c>
      <c r="J127" s="154"/>
    </row>
    <row r="128" spans="1:10" ht="30">
      <c r="A128" s="160"/>
      <c r="B128" s="163"/>
      <c r="C128" s="20" t="s">
        <v>93</v>
      </c>
      <c r="D128" s="19" t="s">
        <v>90</v>
      </c>
      <c r="E128" s="19"/>
      <c r="F128" s="4">
        <v>8</v>
      </c>
      <c r="G128" s="4">
        <f t="shared" si="15"/>
        <v>6</v>
      </c>
      <c r="H128" s="4">
        <f t="shared" si="14"/>
        <v>2</v>
      </c>
      <c r="I128" s="4">
        <v>2</v>
      </c>
      <c r="J128" s="154"/>
    </row>
    <row r="129" spans="1:10">
      <c r="A129" s="161"/>
      <c r="B129" s="164"/>
      <c r="C129" s="20" t="s">
        <v>94</v>
      </c>
      <c r="D129" s="19" t="s">
        <v>90</v>
      </c>
      <c r="E129" s="19"/>
      <c r="F129" s="4">
        <v>8</v>
      </c>
      <c r="G129" s="4">
        <f t="shared" si="15"/>
        <v>6</v>
      </c>
      <c r="H129" s="4">
        <f t="shared" si="14"/>
        <v>2</v>
      </c>
      <c r="I129" s="4">
        <v>2</v>
      </c>
      <c r="J129" s="154"/>
    </row>
    <row r="130" spans="1:10">
      <c r="A130" s="156" t="s">
        <v>95</v>
      </c>
      <c r="B130" s="162" t="s">
        <v>79</v>
      </c>
      <c r="C130" s="20" t="s">
        <v>96</v>
      </c>
      <c r="D130" s="19"/>
      <c r="E130" s="19"/>
      <c r="F130" s="4">
        <v>12</v>
      </c>
      <c r="G130" s="4">
        <f t="shared" si="15"/>
        <v>9</v>
      </c>
      <c r="H130" s="4">
        <f t="shared" si="14"/>
        <v>3</v>
      </c>
      <c r="I130" s="4">
        <v>0</v>
      </c>
      <c r="J130" s="154"/>
    </row>
    <row r="131" spans="1:10" ht="15.75" thickBot="1">
      <c r="A131" s="165"/>
      <c r="B131" s="166"/>
      <c r="C131" s="34" t="s">
        <v>97</v>
      </c>
      <c r="D131" s="35"/>
      <c r="E131" s="35"/>
      <c r="F131" s="36">
        <v>12</v>
      </c>
      <c r="G131" s="36">
        <f t="shared" si="15"/>
        <v>9</v>
      </c>
      <c r="H131" s="36">
        <f t="shared" si="14"/>
        <v>3</v>
      </c>
      <c r="I131" s="36">
        <v>0</v>
      </c>
      <c r="J131" s="155"/>
    </row>
    <row r="132" spans="1:10">
      <c r="A132" s="33" t="s">
        <v>26</v>
      </c>
      <c r="B132" s="19" t="s">
        <v>27</v>
      </c>
      <c r="C132" s="19"/>
      <c r="D132" s="19" t="s">
        <v>98</v>
      </c>
      <c r="E132" s="19" t="s">
        <v>90</v>
      </c>
      <c r="F132" s="4">
        <f t="shared" ref="F132:F154" si="16">F107+2</f>
        <v>3.5</v>
      </c>
      <c r="G132" s="4">
        <f t="shared" si="15"/>
        <v>2.625</v>
      </c>
      <c r="H132" s="4">
        <f t="shared" ref="H132:H154" si="17">F132*25%</f>
        <v>0.875</v>
      </c>
      <c r="I132" s="4">
        <v>0.5</v>
      </c>
      <c r="J132" s="167" t="s">
        <v>99</v>
      </c>
    </row>
    <row r="133" spans="1:10">
      <c r="A133" s="33" t="s">
        <v>28</v>
      </c>
      <c r="B133" s="19" t="s">
        <v>29</v>
      </c>
      <c r="C133" s="19"/>
      <c r="D133" s="19" t="s">
        <v>98</v>
      </c>
      <c r="E133" s="19" t="s">
        <v>90</v>
      </c>
      <c r="F133" s="4">
        <f t="shared" si="16"/>
        <v>12</v>
      </c>
      <c r="G133" s="4">
        <f t="shared" si="15"/>
        <v>9</v>
      </c>
      <c r="H133" s="4">
        <f t="shared" si="17"/>
        <v>3</v>
      </c>
      <c r="I133" s="4">
        <v>3</v>
      </c>
      <c r="J133" s="167"/>
    </row>
    <row r="134" spans="1:10">
      <c r="A134" s="33" t="s">
        <v>30</v>
      </c>
      <c r="B134" s="19" t="s">
        <v>31</v>
      </c>
      <c r="C134" s="19"/>
      <c r="D134" s="19" t="s">
        <v>98</v>
      </c>
      <c r="E134" s="19" t="s">
        <v>90</v>
      </c>
      <c r="F134" s="4">
        <f t="shared" si="16"/>
        <v>17.5</v>
      </c>
      <c r="G134" s="4">
        <f t="shared" si="15"/>
        <v>13.125</v>
      </c>
      <c r="H134" s="4">
        <f t="shared" si="17"/>
        <v>4.375</v>
      </c>
      <c r="I134" s="4">
        <v>4</v>
      </c>
      <c r="J134" s="167"/>
    </row>
    <row r="135" spans="1:10">
      <c r="A135" s="33" t="s">
        <v>32</v>
      </c>
      <c r="B135" s="19" t="s">
        <v>32</v>
      </c>
      <c r="C135" s="19"/>
      <c r="D135" s="19" t="s">
        <v>98</v>
      </c>
      <c r="E135" s="19" t="s">
        <v>90</v>
      </c>
      <c r="F135" s="4">
        <f t="shared" si="16"/>
        <v>17.5</v>
      </c>
      <c r="G135" s="4">
        <f t="shared" si="15"/>
        <v>13.125</v>
      </c>
      <c r="H135" s="4">
        <f t="shared" si="17"/>
        <v>4.375</v>
      </c>
      <c r="I135" s="4">
        <v>3</v>
      </c>
      <c r="J135" s="167"/>
    </row>
    <row r="136" spans="1:10">
      <c r="A136" s="33" t="s">
        <v>33</v>
      </c>
      <c r="B136" s="19" t="s">
        <v>34</v>
      </c>
      <c r="C136" s="19"/>
      <c r="D136" s="19" t="s">
        <v>98</v>
      </c>
      <c r="E136" s="19" t="s">
        <v>90</v>
      </c>
      <c r="F136" s="4">
        <f t="shared" si="16"/>
        <v>17.5</v>
      </c>
      <c r="G136" s="4">
        <f t="shared" si="15"/>
        <v>13.125</v>
      </c>
      <c r="H136" s="4">
        <f t="shared" si="17"/>
        <v>4.375</v>
      </c>
      <c r="I136" s="4">
        <v>4</v>
      </c>
      <c r="J136" s="167"/>
    </row>
    <row r="137" spans="1:10">
      <c r="A137" s="156" t="s">
        <v>35</v>
      </c>
      <c r="B137" s="19" t="s">
        <v>36</v>
      </c>
      <c r="C137" s="19"/>
      <c r="D137" s="19" t="s">
        <v>98</v>
      </c>
      <c r="E137" s="19" t="s">
        <v>90</v>
      </c>
      <c r="F137" s="4">
        <f t="shared" si="16"/>
        <v>17</v>
      </c>
      <c r="G137" s="4">
        <f t="shared" si="15"/>
        <v>12.75</v>
      </c>
      <c r="H137" s="4">
        <f t="shared" si="17"/>
        <v>4.25</v>
      </c>
      <c r="I137" s="4">
        <v>4</v>
      </c>
      <c r="J137" s="167"/>
    </row>
    <row r="138" spans="1:10">
      <c r="A138" s="157"/>
      <c r="B138" s="19" t="s">
        <v>37</v>
      </c>
      <c r="C138" s="19"/>
      <c r="D138" s="19" t="s">
        <v>98</v>
      </c>
      <c r="E138" s="19" t="s">
        <v>90</v>
      </c>
      <c r="F138" s="4">
        <f t="shared" si="16"/>
        <v>17</v>
      </c>
      <c r="G138" s="4">
        <f t="shared" si="15"/>
        <v>12.75</v>
      </c>
      <c r="H138" s="4">
        <f t="shared" si="17"/>
        <v>4.25</v>
      </c>
      <c r="I138" s="4">
        <v>4</v>
      </c>
      <c r="J138" s="167"/>
    </row>
    <row r="139" spans="1:10">
      <c r="A139" s="158"/>
      <c r="B139" s="70" t="s">
        <v>38</v>
      </c>
      <c r="C139" s="19"/>
      <c r="D139" s="19" t="s">
        <v>98</v>
      </c>
      <c r="E139" s="19" t="s">
        <v>90</v>
      </c>
      <c r="F139" s="4">
        <f t="shared" si="16"/>
        <v>17</v>
      </c>
      <c r="G139" s="4">
        <f t="shared" si="15"/>
        <v>12.75</v>
      </c>
      <c r="H139" s="4">
        <f t="shared" si="17"/>
        <v>4.25</v>
      </c>
      <c r="I139" s="4">
        <v>4</v>
      </c>
      <c r="J139" s="167"/>
    </row>
    <row r="140" spans="1:10">
      <c r="A140" s="156" t="s">
        <v>39</v>
      </c>
      <c r="B140" s="19" t="s">
        <v>40</v>
      </c>
      <c r="C140" s="19"/>
      <c r="D140" s="19" t="s">
        <v>98</v>
      </c>
      <c r="E140" s="19" t="s">
        <v>90</v>
      </c>
      <c r="F140" s="4">
        <f t="shared" si="16"/>
        <v>12.5</v>
      </c>
      <c r="G140" s="4">
        <f t="shared" si="15"/>
        <v>9.375</v>
      </c>
      <c r="H140" s="4">
        <f t="shared" si="17"/>
        <v>3.125</v>
      </c>
      <c r="I140" s="4">
        <v>4</v>
      </c>
      <c r="J140" s="167"/>
    </row>
    <row r="141" spans="1:10">
      <c r="A141" s="157"/>
      <c r="B141" s="19" t="s">
        <v>41</v>
      </c>
      <c r="C141" s="19"/>
      <c r="D141" s="19" t="s">
        <v>98</v>
      </c>
      <c r="E141" s="19" t="s">
        <v>90</v>
      </c>
      <c r="F141" s="4">
        <f t="shared" si="16"/>
        <v>12.5</v>
      </c>
      <c r="G141" s="4">
        <f t="shared" si="15"/>
        <v>9.375</v>
      </c>
      <c r="H141" s="4">
        <f t="shared" si="17"/>
        <v>3.125</v>
      </c>
      <c r="I141" s="4">
        <v>4</v>
      </c>
      <c r="J141" s="167"/>
    </row>
    <row r="142" spans="1:10">
      <c r="A142" s="157"/>
      <c r="B142" s="19" t="s">
        <v>42</v>
      </c>
      <c r="C142" s="19"/>
      <c r="D142" s="19" t="s">
        <v>98</v>
      </c>
      <c r="E142" s="19" t="s">
        <v>90</v>
      </c>
      <c r="F142" s="4">
        <f t="shared" si="16"/>
        <v>12.5</v>
      </c>
      <c r="G142" s="4">
        <f t="shared" si="15"/>
        <v>9.375</v>
      </c>
      <c r="H142" s="4">
        <f t="shared" si="17"/>
        <v>3.125</v>
      </c>
      <c r="I142" s="4">
        <v>4</v>
      </c>
      <c r="J142" s="167"/>
    </row>
    <row r="143" spans="1:10">
      <c r="A143" s="158"/>
      <c r="B143" s="19" t="s">
        <v>43</v>
      </c>
      <c r="C143" s="19"/>
      <c r="D143" s="19" t="s">
        <v>98</v>
      </c>
      <c r="E143" s="19" t="s">
        <v>90</v>
      </c>
      <c r="F143" s="4">
        <f t="shared" si="16"/>
        <v>12.5</v>
      </c>
      <c r="G143" s="4">
        <f t="shared" si="15"/>
        <v>9.375</v>
      </c>
      <c r="H143" s="4">
        <f t="shared" si="17"/>
        <v>3.125</v>
      </c>
      <c r="I143" s="4">
        <v>4</v>
      </c>
      <c r="J143" s="167"/>
    </row>
    <row r="144" spans="1:10">
      <c r="A144" s="156" t="s">
        <v>44</v>
      </c>
      <c r="B144" s="19" t="s">
        <v>45</v>
      </c>
      <c r="C144" s="19"/>
      <c r="D144" s="19" t="s">
        <v>98</v>
      </c>
      <c r="E144" s="19" t="s">
        <v>90</v>
      </c>
      <c r="F144" s="4">
        <f t="shared" si="16"/>
        <v>13.5</v>
      </c>
      <c r="G144" s="4">
        <f t="shared" si="15"/>
        <v>10.125</v>
      </c>
      <c r="H144" s="4">
        <f t="shared" si="17"/>
        <v>3.375</v>
      </c>
      <c r="I144" s="4">
        <v>3</v>
      </c>
      <c r="J144" s="167"/>
    </row>
    <row r="145" spans="1:10">
      <c r="A145" s="157"/>
      <c r="B145" s="19" t="s">
        <v>46</v>
      </c>
      <c r="C145" s="19"/>
      <c r="D145" s="19" t="s">
        <v>98</v>
      </c>
      <c r="E145" s="19" t="s">
        <v>90</v>
      </c>
      <c r="F145" s="4">
        <f t="shared" si="16"/>
        <v>13.5</v>
      </c>
      <c r="G145" s="4">
        <f t="shared" si="15"/>
        <v>10.125</v>
      </c>
      <c r="H145" s="4">
        <f t="shared" si="17"/>
        <v>3.375</v>
      </c>
      <c r="I145" s="4">
        <v>3</v>
      </c>
      <c r="J145" s="167"/>
    </row>
    <row r="146" spans="1:10">
      <c r="A146" s="157"/>
      <c r="B146" s="19" t="s">
        <v>47</v>
      </c>
      <c r="C146" s="19"/>
      <c r="D146" s="19" t="s">
        <v>98</v>
      </c>
      <c r="E146" s="19" t="s">
        <v>90</v>
      </c>
      <c r="F146" s="4">
        <f t="shared" si="16"/>
        <v>13.5</v>
      </c>
      <c r="G146" s="4">
        <f t="shared" si="15"/>
        <v>10.125</v>
      </c>
      <c r="H146" s="4">
        <f t="shared" si="17"/>
        <v>3.375</v>
      </c>
      <c r="I146" s="4">
        <v>3</v>
      </c>
      <c r="J146" s="167"/>
    </row>
    <row r="147" spans="1:10">
      <c r="A147" s="157"/>
      <c r="B147" s="19" t="s">
        <v>48</v>
      </c>
      <c r="C147" s="19"/>
      <c r="D147" s="19" t="s">
        <v>98</v>
      </c>
      <c r="E147" s="19" t="s">
        <v>90</v>
      </c>
      <c r="F147" s="4">
        <f t="shared" si="16"/>
        <v>13.5</v>
      </c>
      <c r="G147" s="4">
        <f t="shared" si="15"/>
        <v>10.125</v>
      </c>
      <c r="H147" s="4">
        <f t="shared" si="17"/>
        <v>3.375</v>
      </c>
      <c r="I147" s="4">
        <v>3</v>
      </c>
      <c r="J147" s="167"/>
    </row>
    <row r="148" spans="1:10">
      <c r="A148" s="157"/>
      <c r="B148" s="19" t="s">
        <v>49</v>
      </c>
      <c r="C148" s="19"/>
      <c r="D148" s="19" t="s">
        <v>98</v>
      </c>
      <c r="E148" s="19" t="s">
        <v>90</v>
      </c>
      <c r="F148" s="4">
        <f t="shared" si="16"/>
        <v>13.5</v>
      </c>
      <c r="G148" s="4">
        <f t="shared" si="15"/>
        <v>10.125</v>
      </c>
      <c r="H148" s="4">
        <f t="shared" si="17"/>
        <v>3.375</v>
      </c>
      <c r="I148" s="4">
        <v>3</v>
      </c>
      <c r="J148" s="167"/>
    </row>
    <row r="149" spans="1:10">
      <c r="A149" s="157"/>
      <c r="B149" s="70" t="s">
        <v>50</v>
      </c>
      <c r="C149" s="19"/>
      <c r="D149" s="19" t="s">
        <v>98</v>
      </c>
      <c r="E149" s="19" t="s">
        <v>90</v>
      </c>
      <c r="F149" s="4">
        <f t="shared" si="16"/>
        <v>13.5</v>
      </c>
      <c r="G149" s="4">
        <f t="shared" si="15"/>
        <v>10.125</v>
      </c>
      <c r="H149" s="4">
        <f t="shared" si="17"/>
        <v>3.375</v>
      </c>
      <c r="I149" s="4">
        <v>3</v>
      </c>
      <c r="J149" s="167"/>
    </row>
    <row r="150" spans="1:10">
      <c r="A150" s="158"/>
      <c r="B150" s="19" t="s">
        <v>51</v>
      </c>
      <c r="C150" s="19"/>
      <c r="D150" s="19" t="s">
        <v>98</v>
      </c>
      <c r="E150" s="19" t="s">
        <v>90</v>
      </c>
      <c r="F150" s="4">
        <f t="shared" si="16"/>
        <v>13.5</v>
      </c>
      <c r="G150" s="4">
        <f t="shared" si="15"/>
        <v>10.125</v>
      </c>
      <c r="H150" s="4">
        <f t="shared" si="17"/>
        <v>3.375</v>
      </c>
      <c r="I150" s="4">
        <v>3</v>
      </c>
      <c r="J150" s="167"/>
    </row>
    <row r="151" spans="1:10">
      <c r="A151" s="159" t="s">
        <v>78</v>
      </c>
      <c r="B151" s="162" t="s">
        <v>79</v>
      </c>
      <c r="C151" s="20" t="s">
        <v>91</v>
      </c>
      <c r="D151" s="19" t="s">
        <v>98</v>
      </c>
      <c r="E151" s="19"/>
      <c r="F151" s="4">
        <f t="shared" si="16"/>
        <v>10</v>
      </c>
      <c r="G151" s="4">
        <f t="shared" si="15"/>
        <v>7.5</v>
      </c>
      <c r="H151" s="4">
        <f t="shared" si="17"/>
        <v>2.5</v>
      </c>
      <c r="I151" s="4">
        <v>2</v>
      </c>
      <c r="J151" s="167"/>
    </row>
    <row r="152" spans="1:10" ht="30">
      <c r="A152" s="160"/>
      <c r="B152" s="163"/>
      <c r="C152" s="20" t="s">
        <v>92</v>
      </c>
      <c r="D152" s="19" t="s">
        <v>98</v>
      </c>
      <c r="E152" s="19"/>
      <c r="F152" s="4">
        <f t="shared" si="16"/>
        <v>10</v>
      </c>
      <c r="G152" s="4">
        <f t="shared" si="15"/>
        <v>7.5</v>
      </c>
      <c r="H152" s="4">
        <f t="shared" si="17"/>
        <v>2.5</v>
      </c>
      <c r="I152" s="4">
        <v>2</v>
      </c>
      <c r="J152" s="167"/>
    </row>
    <row r="153" spans="1:10" ht="30">
      <c r="A153" s="160"/>
      <c r="B153" s="163"/>
      <c r="C153" s="20" t="s">
        <v>93</v>
      </c>
      <c r="D153" s="19" t="s">
        <v>98</v>
      </c>
      <c r="E153" s="19"/>
      <c r="F153" s="4">
        <f t="shared" si="16"/>
        <v>10</v>
      </c>
      <c r="G153" s="4">
        <f t="shared" si="15"/>
        <v>7.5</v>
      </c>
      <c r="H153" s="4">
        <f t="shared" si="17"/>
        <v>2.5</v>
      </c>
      <c r="I153" s="4">
        <v>2</v>
      </c>
      <c r="J153" s="167"/>
    </row>
    <row r="154" spans="1:10" ht="15.75" thickBot="1">
      <c r="A154" s="169"/>
      <c r="B154" s="166"/>
      <c r="C154" s="34" t="s">
        <v>94</v>
      </c>
      <c r="D154" s="35" t="s">
        <v>98</v>
      </c>
      <c r="E154" s="35"/>
      <c r="F154" s="36">
        <f t="shared" si="16"/>
        <v>10</v>
      </c>
      <c r="G154" s="36">
        <f t="shared" si="15"/>
        <v>7.5</v>
      </c>
      <c r="H154" s="36">
        <f t="shared" si="17"/>
        <v>2.5</v>
      </c>
      <c r="I154" s="36">
        <v>2</v>
      </c>
      <c r="J154" s="168"/>
    </row>
    <row r="155" spans="1:10">
      <c r="A155" s="29" t="s">
        <v>26</v>
      </c>
      <c r="B155" s="30" t="s">
        <v>27</v>
      </c>
      <c r="C155" s="30"/>
      <c r="D155" s="30" t="s">
        <v>90</v>
      </c>
      <c r="E155" s="30" t="s">
        <v>98</v>
      </c>
      <c r="F155" s="32">
        <f t="shared" ref="F155:F173" si="18">F107+1</f>
        <v>2.5</v>
      </c>
      <c r="G155" s="32">
        <f t="shared" si="15"/>
        <v>1.875</v>
      </c>
      <c r="H155" s="32">
        <f t="shared" ref="H155:H173" si="19">F155*25%</f>
        <v>0.625</v>
      </c>
      <c r="I155" s="32">
        <v>0.5</v>
      </c>
      <c r="J155" s="170" t="s">
        <v>99</v>
      </c>
    </row>
    <row r="156" spans="1:10">
      <c r="A156" s="33" t="s">
        <v>28</v>
      </c>
      <c r="B156" s="19" t="s">
        <v>29</v>
      </c>
      <c r="C156" s="19"/>
      <c r="D156" s="19" t="s">
        <v>90</v>
      </c>
      <c r="E156" s="19" t="s">
        <v>98</v>
      </c>
      <c r="F156" s="4">
        <f t="shared" si="18"/>
        <v>11</v>
      </c>
      <c r="G156" s="4">
        <f t="shared" si="15"/>
        <v>8.25</v>
      </c>
      <c r="H156" s="4">
        <f t="shared" si="19"/>
        <v>2.75</v>
      </c>
      <c r="I156" s="4">
        <v>3</v>
      </c>
      <c r="J156" s="167"/>
    </row>
    <row r="157" spans="1:10">
      <c r="A157" s="33" t="s">
        <v>30</v>
      </c>
      <c r="B157" s="19" t="s">
        <v>31</v>
      </c>
      <c r="C157" s="19"/>
      <c r="D157" s="19" t="s">
        <v>90</v>
      </c>
      <c r="E157" s="19" t="s">
        <v>98</v>
      </c>
      <c r="F157" s="4">
        <f t="shared" si="18"/>
        <v>16.5</v>
      </c>
      <c r="G157" s="4">
        <f t="shared" si="15"/>
        <v>12.375</v>
      </c>
      <c r="H157" s="4">
        <f t="shared" si="19"/>
        <v>4.125</v>
      </c>
      <c r="I157" s="4">
        <v>4</v>
      </c>
      <c r="J157" s="167"/>
    </row>
    <row r="158" spans="1:10">
      <c r="A158" s="33" t="s">
        <v>32</v>
      </c>
      <c r="B158" s="19" t="s">
        <v>32</v>
      </c>
      <c r="C158" s="19"/>
      <c r="D158" s="19" t="s">
        <v>90</v>
      </c>
      <c r="E158" s="19" t="s">
        <v>98</v>
      </c>
      <c r="F158" s="4">
        <f t="shared" si="18"/>
        <v>16.5</v>
      </c>
      <c r="G158" s="4">
        <f t="shared" si="15"/>
        <v>12.375</v>
      </c>
      <c r="H158" s="4">
        <f t="shared" si="19"/>
        <v>4.125</v>
      </c>
      <c r="I158" s="4">
        <v>3</v>
      </c>
      <c r="J158" s="167"/>
    </row>
    <row r="159" spans="1:10">
      <c r="A159" s="33" t="s">
        <v>33</v>
      </c>
      <c r="B159" s="19" t="s">
        <v>34</v>
      </c>
      <c r="C159" s="19"/>
      <c r="D159" s="19" t="s">
        <v>90</v>
      </c>
      <c r="E159" s="19" t="s">
        <v>98</v>
      </c>
      <c r="F159" s="4">
        <f t="shared" si="18"/>
        <v>16.5</v>
      </c>
      <c r="G159" s="4">
        <f t="shared" si="15"/>
        <v>12.375</v>
      </c>
      <c r="H159" s="4">
        <f t="shared" si="19"/>
        <v>4.125</v>
      </c>
      <c r="I159" s="4">
        <v>4</v>
      </c>
      <c r="J159" s="167"/>
    </row>
    <row r="160" spans="1:10">
      <c r="A160" s="156" t="s">
        <v>35</v>
      </c>
      <c r="B160" s="19" t="s">
        <v>36</v>
      </c>
      <c r="C160" s="19"/>
      <c r="D160" s="19" t="s">
        <v>90</v>
      </c>
      <c r="E160" s="19" t="s">
        <v>98</v>
      </c>
      <c r="F160" s="4">
        <f t="shared" si="18"/>
        <v>16</v>
      </c>
      <c r="G160" s="4">
        <f t="shared" si="15"/>
        <v>12</v>
      </c>
      <c r="H160" s="4">
        <f t="shared" si="19"/>
        <v>4</v>
      </c>
      <c r="I160" s="4">
        <v>4</v>
      </c>
      <c r="J160" s="167"/>
    </row>
    <row r="161" spans="1:10">
      <c r="A161" s="157"/>
      <c r="B161" s="19" t="s">
        <v>37</v>
      </c>
      <c r="C161" s="19"/>
      <c r="D161" s="19" t="s">
        <v>90</v>
      </c>
      <c r="E161" s="19" t="s">
        <v>98</v>
      </c>
      <c r="F161" s="4">
        <f t="shared" si="18"/>
        <v>16</v>
      </c>
      <c r="G161" s="4">
        <f t="shared" si="15"/>
        <v>12</v>
      </c>
      <c r="H161" s="4">
        <f t="shared" si="19"/>
        <v>4</v>
      </c>
      <c r="I161" s="4">
        <v>4</v>
      </c>
      <c r="J161" s="167"/>
    </row>
    <row r="162" spans="1:10">
      <c r="A162" s="158"/>
      <c r="B162" s="70" t="s">
        <v>38</v>
      </c>
      <c r="C162" s="19"/>
      <c r="D162" s="19" t="s">
        <v>90</v>
      </c>
      <c r="E162" s="19" t="s">
        <v>98</v>
      </c>
      <c r="F162" s="4">
        <f t="shared" si="18"/>
        <v>16</v>
      </c>
      <c r="G162" s="4">
        <f t="shared" si="15"/>
        <v>12</v>
      </c>
      <c r="H162" s="4">
        <f t="shared" si="19"/>
        <v>4</v>
      </c>
      <c r="I162" s="4">
        <v>4</v>
      </c>
      <c r="J162" s="167"/>
    </row>
    <row r="163" spans="1:10">
      <c r="A163" s="156" t="s">
        <v>39</v>
      </c>
      <c r="B163" s="19" t="s">
        <v>40</v>
      </c>
      <c r="C163" s="19"/>
      <c r="D163" s="19" t="s">
        <v>90</v>
      </c>
      <c r="E163" s="19" t="s">
        <v>98</v>
      </c>
      <c r="F163" s="4">
        <f t="shared" si="18"/>
        <v>11.5</v>
      </c>
      <c r="G163" s="4">
        <f t="shared" si="15"/>
        <v>8.625</v>
      </c>
      <c r="H163" s="4">
        <f t="shared" si="19"/>
        <v>2.875</v>
      </c>
      <c r="I163" s="4">
        <v>4</v>
      </c>
      <c r="J163" s="167"/>
    </row>
    <row r="164" spans="1:10">
      <c r="A164" s="157"/>
      <c r="B164" s="19" t="s">
        <v>41</v>
      </c>
      <c r="C164" s="19"/>
      <c r="D164" s="19" t="s">
        <v>90</v>
      </c>
      <c r="E164" s="19" t="s">
        <v>98</v>
      </c>
      <c r="F164" s="4">
        <f t="shared" si="18"/>
        <v>11.5</v>
      </c>
      <c r="G164" s="4">
        <f t="shared" si="15"/>
        <v>8.625</v>
      </c>
      <c r="H164" s="4">
        <f t="shared" si="19"/>
        <v>2.875</v>
      </c>
      <c r="I164" s="4">
        <v>4</v>
      </c>
      <c r="J164" s="167"/>
    </row>
    <row r="165" spans="1:10">
      <c r="A165" s="157"/>
      <c r="B165" s="19" t="s">
        <v>42</v>
      </c>
      <c r="C165" s="19"/>
      <c r="D165" s="19" t="s">
        <v>90</v>
      </c>
      <c r="E165" s="19" t="s">
        <v>98</v>
      </c>
      <c r="F165" s="4">
        <f t="shared" si="18"/>
        <v>11.5</v>
      </c>
      <c r="G165" s="4">
        <f t="shared" si="15"/>
        <v>8.625</v>
      </c>
      <c r="H165" s="4">
        <f t="shared" si="19"/>
        <v>2.875</v>
      </c>
      <c r="I165" s="4">
        <v>4</v>
      </c>
      <c r="J165" s="167"/>
    </row>
    <row r="166" spans="1:10">
      <c r="A166" s="158"/>
      <c r="B166" s="19" t="s">
        <v>43</v>
      </c>
      <c r="C166" s="19"/>
      <c r="D166" s="19" t="s">
        <v>90</v>
      </c>
      <c r="E166" s="19" t="s">
        <v>98</v>
      </c>
      <c r="F166" s="4">
        <f t="shared" si="18"/>
        <v>11.5</v>
      </c>
      <c r="G166" s="4">
        <f t="shared" si="15"/>
        <v>8.625</v>
      </c>
      <c r="H166" s="4">
        <f t="shared" si="19"/>
        <v>2.875</v>
      </c>
      <c r="I166" s="4">
        <v>4</v>
      </c>
      <c r="J166" s="167"/>
    </row>
    <row r="167" spans="1:10">
      <c r="A167" s="156" t="s">
        <v>44</v>
      </c>
      <c r="B167" s="19" t="s">
        <v>45</v>
      </c>
      <c r="C167" s="19"/>
      <c r="D167" s="19" t="s">
        <v>90</v>
      </c>
      <c r="E167" s="19" t="s">
        <v>98</v>
      </c>
      <c r="F167" s="4">
        <f t="shared" si="18"/>
        <v>12.5</v>
      </c>
      <c r="G167" s="4">
        <f t="shared" si="15"/>
        <v>9.375</v>
      </c>
      <c r="H167" s="4">
        <f t="shared" si="19"/>
        <v>3.125</v>
      </c>
      <c r="I167" s="4">
        <v>3</v>
      </c>
      <c r="J167" s="167"/>
    </row>
    <row r="168" spans="1:10">
      <c r="A168" s="157"/>
      <c r="B168" s="19" t="s">
        <v>46</v>
      </c>
      <c r="C168" s="19"/>
      <c r="D168" s="19" t="s">
        <v>90</v>
      </c>
      <c r="E168" s="19" t="s">
        <v>98</v>
      </c>
      <c r="F168" s="4">
        <f t="shared" si="18"/>
        <v>12.5</v>
      </c>
      <c r="G168" s="4">
        <f t="shared" ref="G168:G226" si="20">F168*75%</f>
        <v>9.375</v>
      </c>
      <c r="H168" s="4">
        <f t="shared" si="19"/>
        <v>3.125</v>
      </c>
      <c r="I168" s="4">
        <v>3</v>
      </c>
      <c r="J168" s="167"/>
    </row>
    <row r="169" spans="1:10">
      <c r="A169" s="157"/>
      <c r="B169" s="19" t="s">
        <v>47</v>
      </c>
      <c r="C169" s="19"/>
      <c r="D169" s="19" t="s">
        <v>90</v>
      </c>
      <c r="E169" s="19" t="s">
        <v>98</v>
      </c>
      <c r="F169" s="4">
        <f t="shared" si="18"/>
        <v>12.5</v>
      </c>
      <c r="G169" s="4">
        <f t="shared" si="20"/>
        <v>9.375</v>
      </c>
      <c r="H169" s="4">
        <f t="shared" si="19"/>
        <v>3.125</v>
      </c>
      <c r="I169" s="4">
        <v>3</v>
      </c>
      <c r="J169" s="167"/>
    </row>
    <row r="170" spans="1:10">
      <c r="A170" s="157"/>
      <c r="B170" s="19" t="s">
        <v>48</v>
      </c>
      <c r="C170" s="19"/>
      <c r="D170" s="19" t="s">
        <v>90</v>
      </c>
      <c r="E170" s="19" t="s">
        <v>98</v>
      </c>
      <c r="F170" s="4">
        <f t="shared" si="18"/>
        <v>12.5</v>
      </c>
      <c r="G170" s="4">
        <f t="shared" si="20"/>
        <v>9.375</v>
      </c>
      <c r="H170" s="4">
        <f t="shared" si="19"/>
        <v>3.125</v>
      </c>
      <c r="I170" s="4">
        <v>3</v>
      </c>
      <c r="J170" s="167"/>
    </row>
    <row r="171" spans="1:10">
      <c r="A171" s="157"/>
      <c r="B171" s="19" t="s">
        <v>49</v>
      </c>
      <c r="C171" s="19"/>
      <c r="D171" s="19" t="s">
        <v>90</v>
      </c>
      <c r="E171" s="19" t="s">
        <v>98</v>
      </c>
      <c r="F171" s="4">
        <f t="shared" si="18"/>
        <v>12.5</v>
      </c>
      <c r="G171" s="4">
        <f t="shared" si="20"/>
        <v>9.375</v>
      </c>
      <c r="H171" s="4">
        <f t="shared" si="19"/>
        <v>3.125</v>
      </c>
      <c r="I171" s="4">
        <v>3</v>
      </c>
      <c r="J171" s="167"/>
    </row>
    <row r="172" spans="1:10">
      <c r="A172" s="157"/>
      <c r="B172" s="70" t="s">
        <v>50</v>
      </c>
      <c r="C172" s="19"/>
      <c r="D172" s="19" t="s">
        <v>90</v>
      </c>
      <c r="E172" s="19" t="s">
        <v>98</v>
      </c>
      <c r="F172" s="4">
        <f t="shared" si="18"/>
        <v>12.5</v>
      </c>
      <c r="G172" s="4">
        <f t="shared" si="20"/>
        <v>9.375</v>
      </c>
      <c r="H172" s="4">
        <f t="shared" si="19"/>
        <v>3.125</v>
      </c>
      <c r="I172" s="4">
        <v>3</v>
      </c>
      <c r="J172" s="167"/>
    </row>
    <row r="173" spans="1:10" ht="15.75" thickBot="1">
      <c r="A173" s="165"/>
      <c r="B173" s="35" t="s">
        <v>51</v>
      </c>
      <c r="C173" s="35"/>
      <c r="D173" s="35" t="s">
        <v>90</v>
      </c>
      <c r="E173" s="35" t="s">
        <v>98</v>
      </c>
      <c r="F173" s="36">
        <f t="shared" si="18"/>
        <v>12.5</v>
      </c>
      <c r="G173" s="36">
        <f t="shared" si="20"/>
        <v>9.375</v>
      </c>
      <c r="H173" s="36">
        <f t="shared" si="19"/>
        <v>3.125</v>
      </c>
      <c r="I173" s="36">
        <v>3</v>
      </c>
      <c r="J173" s="168"/>
    </row>
    <row r="174" spans="1:10">
      <c r="A174" s="29" t="s">
        <v>26</v>
      </c>
      <c r="B174" s="30" t="s">
        <v>27</v>
      </c>
      <c r="C174" s="30"/>
      <c r="D174" s="30" t="s">
        <v>98</v>
      </c>
      <c r="E174" s="30" t="s">
        <v>98</v>
      </c>
      <c r="F174" s="32">
        <f>F107+3</f>
        <v>4.5</v>
      </c>
      <c r="G174" s="32">
        <f t="shared" si="20"/>
        <v>3.375</v>
      </c>
      <c r="H174" s="32">
        <f t="shared" ref="H174:H192" si="21">F174*25%</f>
        <v>1.125</v>
      </c>
      <c r="I174" s="32">
        <v>0.5</v>
      </c>
      <c r="J174" s="153" t="s">
        <v>99</v>
      </c>
    </row>
    <row r="175" spans="1:10">
      <c r="A175" s="33" t="s">
        <v>28</v>
      </c>
      <c r="B175" s="19" t="s">
        <v>29</v>
      </c>
      <c r="C175" s="19"/>
      <c r="D175" s="19" t="s">
        <v>98</v>
      </c>
      <c r="E175" s="19" t="s">
        <v>98</v>
      </c>
      <c r="F175" s="4">
        <f t="shared" ref="F175:F192" si="22">F108+3</f>
        <v>13</v>
      </c>
      <c r="G175" s="4">
        <f t="shared" si="20"/>
        <v>9.75</v>
      </c>
      <c r="H175" s="4">
        <f t="shared" si="21"/>
        <v>3.25</v>
      </c>
      <c r="I175" s="4">
        <v>3</v>
      </c>
      <c r="J175" s="154"/>
    </row>
    <row r="176" spans="1:10">
      <c r="A176" s="33" t="s">
        <v>30</v>
      </c>
      <c r="B176" s="19" t="s">
        <v>31</v>
      </c>
      <c r="C176" s="19"/>
      <c r="D176" s="19" t="s">
        <v>98</v>
      </c>
      <c r="E176" s="19" t="s">
        <v>98</v>
      </c>
      <c r="F176" s="4">
        <f t="shared" si="22"/>
        <v>18.5</v>
      </c>
      <c r="G176" s="4">
        <f t="shared" si="20"/>
        <v>13.875</v>
      </c>
      <c r="H176" s="4">
        <f t="shared" si="21"/>
        <v>4.625</v>
      </c>
      <c r="I176" s="4">
        <v>4</v>
      </c>
      <c r="J176" s="154"/>
    </row>
    <row r="177" spans="1:10">
      <c r="A177" s="33" t="s">
        <v>32</v>
      </c>
      <c r="B177" s="19" t="s">
        <v>32</v>
      </c>
      <c r="C177" s="19"/>
      <c r="D177" s="19" t="s">
        <v>98</v>
      </c>
      <c r="E177" s="19" t="s">
        <v>98</v>
      </c>
      <c r="F177" s="4">
        <f t="shared" si="22"/>
        <v>18.5</v>
      </c>
      <c r="G177" s="4">
        <f t="shared" si="20"/>
        <v>13.875</v>
      </c>
      <c r="H177" s="4">
        <f t="shared" si="21"/>
        <v>4.625</v>
      </c>
      <c r="I177" s="4">
        <v>3</v>
      </c>
      <c r="J177" s="154"/>
    </row>
    <row r="178" spans="1:10">
      <c r="A178" s="33" t="s">
        <v>33</v>
      </c>
      <c r="B178" s="19" t="s">
        <v>34</v>
      </c>
      <c r="C178" s="19"/>
      <c r="D178" s="19" t="s">
        <v>98</v>
      </c>
      <c r="E178" s="19" t="s">
        <v>98</v>
      </c>
      <c r="F178" s="4">
        <f t="shared" si="22"/>
        <v>18.5</v>
      </c>
      <c r="G178" s="4">
        <f t="shared" si="20"/>
        <v>13.875</v>
      </c>
      <c r="H178" s="4">
        <f t="shared" si="21"/>
        <v>4.625</v>
      </c>
      <c r="I178" s="4">
        <v>4</v>
      </c>
      <c r="J178" s="154"/>
    </row>
    <row r="179" spans="1:10">
      <c r="A179" s="156" t="s">
        <v>35</v>
      </c>
      <c r="B179" s="19" t="s">
        <v>36</v>
      </c>
      <c r="C179" s="19"/>
      <c r="D179" s="19" t="s">
        <v>98</v>
      </c>
      <c r="E179" s="19" t="s">
        <v>98</v>
      </c>
      <c r="F179" s="4">
        <f t="shared" si="22"/>
        <v>18</v>
      </c>
      <c r="G179" s="4">
        <f t="shared" si="20"/>
        <v>13.5</v>
      </c>
      <c r="H179" s="4">
        <f t="shared" si="21"/>
        <v>4.5</v>
      </c>
      <c r="I179" s="4">
        <v>4</v>
      </c>
      <c r="J179" s="154"/>
    </row>
    <row r="180" spans="1:10">
      <c r="A180" s="157"/>
      <c r="B180" s="19" t="s">
        <v>37</v>
      </c>
      <c r="C180" s="19"/>
      <c r="D180" s="19" t="s">
        <v>98</v>
      </c>
      <c r="E180" s="19" t="s">
        <v>98</v>
      </c>
      <c r="F180" s="4">
        <f t="shared" si="22"/>
        <v>18</v>
      </c>
      <c r="G180" s="4">
        <f t="shared" si="20"/>
        <v>13.5</v>
      </c>
      <c r="H180" s="4">
        <f t="shared" si="21"/>
        <v>4.5</v>
      </c>
      <c r="I180" s="4">
        <v>4</v>
      </c>
      <c r="J180" s="154"/>
    </row>
    <row r="181" spans="1:10">
      <c r="A181" s="158"/>
      <c r="B181" s="70" t="s">
        <v>38</v>
      </c>
      <c r="C181" s="19"/>
      <c r="D181" s="19" t="s">
        <v>98</v>
      </c>
      <c r="E181" s="19" t="s">
        <v>98</v>
      </c>
      <c r="F181" s="4">
        <f t="shared" si="22"/>
        <v>18</v>
      </c>
      <c r="G181" s="4">
        <f t="shared" si="20"/>
        <v>13.5</v>
      </c>
      <c r="H181" s="4">
        <f t="shared" si="21"/>
        <v>4.5</v>
      </c>
      <c r="I181" s="4">
        <v>4</v>
      </c>
      <c r="J181" s="154"/>
    </row>
    <row r="182" spans="1:10">
      <c r="A182" s="156" t="s">
        <v>39</v>
      </c>
      <c r="B182" s="19" t="s">
        <v>40</v>
      </c>
      <c r="C182" s="19"/>
      <c r="D182" s="19" t="s">
        <v>98</v>
      </c>
      <c r="E182" s="19" t="s">
        <v>98</v>
      </c>
      <c r="F182" s="4">
        <f t="shared" si="22"/>
        <v>13.5</v>
      </c>
      <c r="G182" s="4">
        <f t="shared" si="20"/>
        <v>10.125</v>
      </c>
      <c r="H182" s="4">
        <f t="shared" si="21"/>
        <v>3.375</v>
      </c>
      <c r="I182" s="4">
        <v>4</v>
      </c>
      <c r="J182" s="154"/>
    </row>
    <row r="183" spans="1:10">
      <c r="A183" s="157"/>
      <c r="B183" s="19" t="s">
        <v>41</v>
      </c>
      <c r="C183" s="19"/>
      <c r="D183" s="19" t="s">
        <v>98</v>
      </c>
      <c r="E183" s="19" t="s">
        <v>98</v>
      </c>
      <c r="F183" s="4">
        <f t="shared" si="22"/>
        <v>13.5</v>
      </c>
      <c r="G183" s="4">
        <f t="shared" si="20"/>
        <v>10.125</v>
      </c>
      <c r="H183" s="4">
        <f t="shared" si="21"/>
        <v>3.375</v>
      </c>
      <c r="I183" s="4">
        <v>4</v>
      </c>
      <c r="J183" s="154"/>
    </row>
    <row r="184" spans="1:10">
      <c r="A184" s="157"/>
      <c r="B184" s="19" t="s">
        <v>42</v>
      </c>
      <c r="C184" s="19"/>
      <c r="D184" s="19" t="s">
        <v>98</v>
      </c>
      <c r="E184" s="19" t="s">
        <v>98</v>
      </c>
      <c r="F184" s="4">
        <f t="shared" si="22"/>
        <v>13.5</v>
      </c>
      <c r="G184" s="4">
        <f t="shared" si="20"/>
        <v>10.125</v>
      </c>
      <c r="H184" s="4">
        <f t="shared" si="21"/>
        <v>3.375</v>
      </c>
      <c r="I184" s="4">
        <v>4</v>
      </c>
      <c r="J184" s="154"/>
    </row>
    <row r="185" spans="1:10">
      <c r="A185" s="158"/>
      <c r="B185" s="19" t="s">
        <v>43</v>
      </c>
      <c r="C185" s="19"/>
      <c r="D185" s="19" t="s">
        <v>98</v>
      </c>
      <c r="E185" s="19" t="s">
        <v>98</v>
      </c>
      <c r="F185" s="4">
        <f t="shared" si="22"/>
        <v>13.5</v>
      </c>
      <c r="G185" s="4">
        <f t="shared" si="20"/>
        <v>10.125</v>
      </c>
      <c r="H185" s="4">
        <f t="shared" si="21"/>
        <v>3.375</v>
      </c>
      <c r="I185" s="4">
        <v>4</v>
      </c>
      <c r="J185" s="154"/>
    </row>
    <row r="186" spans="1:10">
      <c r="A186" s="156" t="s">
        <v>44</v>
      </c>
      <c r="B186" s="19" t="s">
        <v>45</v>
      </c>
      <c r="C186" s="19"/>
      <c r="D186" s="19" t="s">
        <v>98</v>
      </c>
      <c r="E186" s="19" t="s">
        <v>98</v>
      </c>
      <c r="F186" s="4">
        <f t="shared" si="22"/>
        <v>14.5</v>
      </c>
      <c r="G186" s="4">
        <f t="shared" si="20"/>
        <v>10.875</v>
      </c>
      <c r="H186" s="4">
        <f t="shared" si="21"/>
        <v>3.625</v>
      </c>
      <c r="I186" s="4">
        <v>3</v>
      </c>
      <c r="J186" s="154"/>
    </row>
    <row r="187" spans="1:10">
      <c r="A187" s="157"/>
      <c r="B187" s="19" t="s">
        <v>46</v>
      </c>
      <c r="C187" s="19"/>
      <c r="D187" s="19" t="s">
        <v>98</v>
      </c>
      <c r="E187" s="19" t="s">
        <v>98</v>
      </c>
      <c r="F187" s="4">
        <f t="shared" si="22"/>
        <v>14.5</v>
      </c>
      <c r="G187" s="4">
        <f t="shared" si="20"/>
        <v>10.875</v>
      </c>
      <c r="H187" s="4">
        <f t="shared" si="21"/>
        <v>3.625</v>
      </c>
      <c r="I187" s="4">
        <v>3</v>
      </c>
      <c r="J187" s="154"/>
    </row>
    <row r="188" spans="1:10">
      <c r="A188" s="157"/>
      <c r="B188" s="19" t="s">
        <v>47</v>
      </c>
      <c r="C188" s="19"/>
      <c r="D188" s="19" t="s">
        <v>98</v>
      </c>
      <c r="E188" s="19" t="s">
        <v>98</v>
      </c>
      <c r="F188" s="4">
        <f t="shared" si="22"/>
        <v>14.5</v>
      </c>
      <c r="G188" s="4">
        <f t="shared" si="20"/>
        <v>10.875</v>
      </c>
      <c r="H188" s="4">
        <f t="shared" si="21"/>
        <v>3.625</v>
      </c>
      <c r="I188" s="4">
        <v>3</v>
      </c>
      <c r="J188" s="154"/>
    </row>
    <row r="189" spans="1:10">
      <c r="A189" s="157"/>
      <c r="B189" s="19" t="s">
        <v>48</v>
      </c>
      <c r="C189" s="19"/>
      <c r="D189" s="19" t="s">
        <v>98</v>
      </c>
      <c r="E189" s="19" t="s">
        <v>98</v>
      </c>
      <c r="F189" s="4">
        <f t="shared" si="22"/>
        <v>14.5</v>
      </c>
      <c r="G189" s="4">
        <f t="shared" si="20"/>
        <v>10.875</v>
      </c>
      <c r="H189" s="4">
        <f t="shared" si="21"/>
        <v>3.625</v>
      </c>
      <c r="I189" s="4">
        <v>3</v>
      </c>
      <c r="J189" s="154"/>
    </row>
    <row r="190" spans="1:10">
      <c r="A190" s="157"/>
      <c r="B190" s="19" t="s">
        <v>49</v>
      </c>
      <c r="C190" s="19"/>
      <c r="D190" s="19" t="s">
        <v>98</v>
      </c>
      <c r="E190" s="19" t="s">
        <v>98</v>
      </c>
      <c r="F190" s="4">
        <f t="shared" si="22"/>
        <v>14.5</v>
      </c>
      <c r="G190" s="4">
        <f t="shared" si="20"/>
        <v>10.875</v>
      </c>
      <c r="H190" s="4">
        <f t="shared" si="21"/>
        <v>3.625</v>
      </c>
      <c r="I190" s="4">
        <v>3</v>
      </c>
      <c r="J190" s="154"/>
    </row>
    <row r="191" spans="1:10">
      <c r="A191" s="157"/>
      <c r="B191" s="70" t="s">
        <v>50</v>
      </c>
      <c r="C191" s="19"/>
      <c r="D191" s="19" t="s">
        <v>98</v>
      </c>
      <c r="E191" s="19" t="s">
        <v>98</v>
      </c>
      <c r="F191" s="4">
        <f t="shared" si="22"/>
        <v>14.5</v>
      </c>
      <c r="G191" s="4">
        <f t="shared" si="20"/>
        <v>10.875</v>
      </c>
      <c r="H191" s="4">
        <f t="shared" si="21"/>
        <v>3.625</v>
      </c>
      <c r="I191" s="4">
        <v>3</v>
      </c>
      <c r="J191" s="154"/>
    </row>
    <row r="192" spans="1:10" ht="15.75" thickBot="1">
      <c r="A192" s="157"/>
      <c r="B192" s="38" t="s">
        <v>51</v>
      </c>
      <c r="C192" s="38"/>
      <c r="D192" s="38" t="s">
        <v>98</v>
      </c>
      <c r="E192" s="38" t="s">
        <v>98</v>
      </c>
      <c r="F192" s="37">
        <f t="shared" si="22"/>
        <v>14.5</v>
      </c>
      <c r="G192" s="37">
        <f t="shared" si="20"/>
        <v>10.875</v>
      </c>
      <c r="H192" s="37">
        <f t="shared" si="21"/>
        <v>3.625</v>
      </c>
      <c r="I192" s="37">
        <v>3</v>
      </c>
      <c r="J192" s="154"/>
    </row>
    <row r="193" spans="1:10">
      <c r="A193" s="39" t="s">
        <v>13</v>
      </c>
      <c r="B193" s="40" t="s">
        <v>14</v>
      </c>
      <c r="C193" s="41"/>
      <c r="D193" s="40"/>
      <c r="E193" s="40"/>
      <c r="F193" s="42">
        <v>4.5</v>
      </c>
      <c r="G193" s="42">
        <f t="shared" si="20"/>
        <v>3.375</v>
      </c>
      <c r="H193" s="42">
        <f>F193*25%</f>
        <v>1.125</v>
      </c>
      <c r="I193" s="42">
        <v>0</v>
      </c>
      <c r="J193" s="171" t="s">
        <v>82</v>
      </c>
    </row>
    <row r="194" spans="1:10">
      <c r="A194" s="174" t="s">
        <v>17</v>
      </c>
      <c r="B194" s="43" t="s">
        <v>18</v>
      </c>
      <c r="C194" s="43"/>
      <c r="D194" s="43"/>
      <c r="E194" s="43"/>
      <c r="F194" s="44">
        <v>5</v>
      </c>
      <c r="G194" s="44">
        <f t="shared" si="20"/>
        <v>3.75</v>
      </c>
      <c r="H194" s="44">
        <f t="shared" ref="H194:H226" si="23">F194*25%</f>
        <v>1.25</v>
      </c>
      <c r="I194" s="44">
        <v>0</v>
      </c>
      <c r="J194" s="172"/>
    </row>
    <row r="195" spans="1:10">
      <c r="A195" s="175"/>
      <c r="B195" s="43" t="s">
        <v>19</v>
      </c>
      <c r="C195" s="43"/>
      <c r="D195" s="43"/>
      <c r="E195" s="43"/>
      <c r="F195" s="44">
        <v>5</v>
      </c>
      <c r="G195" s="44">
        <f t="shared" si="20"/>
        <v>3.75</v>
      </c>
      <c r="H195" s="44">
        <f t="shared" si="23"/>
        <v>1.25</v>
      </c>
      <c r="I195" s="44">
        <v>0</v>
      </c>
      <c r="J195" s="172"/>
    </row>
    <row r="196" spans="1:10">
      <c r="A196" s="175"/>
      <c r="B196" s="43" t="s">
        <v>20</v>
      </c>
      <c r="C196" s="43"/>
      <c r="D196" s="43"/>
      <c r="E196" s="43"/>
      <c r="F196" s="44">
        <v>5</v>
      </c>
      <c r="G196" s="44">
        <f t="shared" si="20"/>
        <v>3.75</v>
      </c>
      <c r="H196" s="44">
        <f t="shared" si="23"/>
        <v>1.25</v>
      </c>
      <c r="I196" s="44">
        <v>0</v>
      </c>
      <c r="J196" s="172"/>
    </row>
    <row r="197" spans="1:10">
      <c r="A197" s="175"/>
      <c r="B197" s="71" t="s">
        <v>21</v>
      </c>
      <c r="C197" s="43"/>
      <c r="D197" s="43"/>
      <c r="E197" s="43"/>
      <c r="F197" s="44">
        <v>5</v>
      </c>
      <c r="G197" s="44">
        <f t="shared" si="20"/>
        <v>3.75</v>
      </c>
      <c r="H197" s="44">
        <f t="shared" si="23"/>
        <v>1.25</v>
      </c>
      <c r="I197" s="44">
        <v>0</v>
      </c>
      <c r="J197" s="172"/>
    </row>
    <row r="198" spans="1:10">
      <c r="A198" s="175"/>
      <c r="B198" s="43" t="s">
        <v>22</v>
      </c>
      <c r="C198" s="43"/>
      <c r="D198" s="43"/>
      <c r="E198" s="43"/>
      <c r="F198" s="44">
        <v>5</v>
      </c>
      <c r="G198" s="44">
        <f t="shared" si="20"/>
        <v>3.75</v>
      </c>
      <c r="H198" s="44">
        <f t="shared" si="23"/>
        <v>1.25</v>
      </c>
      <c r="I198" s="44">
        <v>0</v>
      </c>
      <c r="J198" s="172"/>
    </row>
    <row r="199" spans="1:10">
      <c r="A199" s="175"/>
      <c r="B199" s="43" t="s">
        <v>23</v>
      </c>
      <c r="C199" s="43"/>
      <c r="D199" s="43"/>
      <c r="E199" s="43"/>
      <c r="F199" s="44">
        <v>5</v>
      </c>
      <c r="G199" s="44">
        <f t="shared" si="20"/>
        <v>3.75</v>
      </c>
      <c r="H199" s="44">
        <f t="shared" si="23"/>
        <v>1.25</v>
      </c>
      <c r="I199" s="44">
        <v>0</v>
      </c>
      <c r="J199" s="172"/>
    </row>
    <row r="200" spans="1:10">
      <c r="A200" s="175"/>
      <c r="B200" s="43" t="s">
        <v>24</v>
      </c>
      <c r="C200" s="43"/>
      <c r="D200" s="43"/>
      <c r="E200" s="43"/>
      <c r="F200" s="44">
        <v>5</v>
      </c>
      <c r="G200" s="44">
        <f t="shared" si="20"/>
        <v>3.75</v>
      </c>
      <c r="H200" s="44">
        <f t="shared" si="23"/>
        <v>1.25</v>
      </c>
      <c r="I200" s="44">
        <v>0</v>
      </c>
      <c r="J200" s="172"/>
    </row>
    <row r="201" spans="1:10">
      <c r="A201" s="176"/>
      <c r="B201" s="43" t="s">
        <v>25</v>
      </c>
      <c r="C201" s="43"/>
      <c r="D201" s="43"/>
      <c r="E201" s="43"/>
      <c r="F201" s="44">
        <v>5</v>
      </c>
      <c r="G201" s="44">
        <f t="shared" si="20"/>
        <v>3.75</v>
      </c>
      <c r="H201" s="44">
        <f t="shared" si="23"/>
        <v>1.25</v>
      </c>
      <c r="I201" s="44">
        <v>0</v>
      </c>
      <c r="J201" s="172"/>
    </row>
    <row r="202" spans="1:10">
      <c r="A202" s="45" t="s">
        <v>26</v>
      </c>
      <c r="B202" s="43" t="s">
        <v>27</v>
      </c>
      <c r="C202" s="43"/>
      <c r="D202" s="43" t="s">
        <v>90</v>
      </c>
      <c r="E202" s="43" t="s">
        <v>90</v>
      </c>
      <c r="F202" s="44">
        <v>1.5</v>
      </c>
      <c r="G202" s="44">
        <f t="shared" si="20"/>
        <v>1.125</v>
      </c>
      <c r="H202" s="44">
        <f t="shared" si="23"/>
        <v>0.375</v>
      </c>
      <c r="I202" s="44">
        <v>0</v>
      </c>
      <c r="J202" s="172"/>
    </row>
    <row r="203" spans="1:10">
      <c r="A203" s="45" t="s">
        <v>28</v>
      </c>
      <c r="B203" s="43" t="s">
        <v>29</v>
      </c>
      <c r="C203" s="43"/>
      <c r="D203" s="43" t="s">
        <v>90</v>
      </c>
      <c r="E203" s="43" t="s">
        <v>90</v>
      </c>
      <c r="F203" s="44">
        <v>10</v>
      </c>
      <c r="G203" s="44">
        <f t="shared" si="20"/>
        <v>7.5</v>
      </c>
      <c r="H203" s="44">
        <f t="shared" si="23"/>
        <v>2.5</v>
      </c>
      <c r="I203" s="44">
        <v>0</v>
      </c>
      <c r="J203" s="172"/>
    </row>
    <row r="204" spans="1:10">
      <c r="A204" s="45" t="s">
        <v>30</v>
      </c>
      <c r="B204" s="43" t="s">
        <v>31</v>
      </c>
      <c r="C204" s="43"/>
      <c r="D204" s="43" t="s">
        <v>90</v>
      </c>
      <c r="E204" s="43" t="s">
        <v>90</v>
      </c>
      <c r="F204" s="44">
        <v>15.5</v>
      </c>
      <c r="G204" s="44">
        <f t="shared" si="20"/>
        <v>11.625</v>
      </c>
      <c r="H204" s="44">
        <f t="shared" si="23"/>
        <v>3.875</v>
      </c>
      <c r="I204" s="44">
        <v>0</v>
      </c>
      <c r="J204" s="172"/>
    </row>
    <row r="205" spans="1:10">
      <c r="A205" s="45" t="s">
        <v>32</v>
      </c>
      <c r="B205" s="43" t="s">
        <v>32</v>
      </c>
      <c r="C205" s="43"/>
      <c r="D205" s="43" t="s">
        <v>90</v>
      </c>
      <c r="E205" s="43" t="s">
        <v>90</v>
      </c>
      <c r="F205" s="44">
        <v>15.5</v>
      </c>
      <c r="G205" s="44">
        <f t="shared" si="20"/>
        <v>11.625</v>
      </c>
      <c r="H205" s="44">
        <f t="shared" si="23"/>
        <v>3.875</v>
      </c>
      <c r="I205" s="44">
        <v>0</v>
      </c>
      <c r="J205" s="172"/>
    </row>
    <row r="206" spans="1:10">
      <c r="A206" s="45" t="s">
        <v>33</v>
      </c>
      <c r="B206" s="43" t="s">
        <v>34</v>
      </c>
      <c r="C206" s="43"/>
      <c r="D206" s="43" t="s">
        <v>90</v>
      </c>
      <c r="E206" s="43" t="s">
        <v>90</v>
      </c>
      <c r="F206" s="44">
        <v>15.5</v>
      </c>
      <c r="G206" s="44">
        <f t="shared" si="20"/>
        <v>11.625</v>
      </c>
      <c r="H206" s="44">
        <f t="shared" si="23"/>
        <v>3.875</v>
      </c>
      <c r="I206" s="44">
        <v>0</v>
      </c>
      <c r="J206" s="172"/>
    </row>
    <row r="207" spans="1:10">
      <c r="A207" s="174" t="s">
        <v>35</v>
      </c>
      <c r="B207" s="43" t="s">
        <v>36</v>
      </c>
      <c r="C207" s="43"/>
      <c r="D207" s="43" t="s">
        <v>90</v>
      </c>
      <c r="E207" s="43" t="s">
        <v>90</v>
      </c>
      <c r="F207" s="44">
        <v>15</v>
      </c>
      <c r="G207" s="44">
        <f t="shared" si="20"/>
        <v>11.25</v>
      </c>
      <c r="H207" s="44">
        <f t="shared" si="23"/>
        <v>3.75</v>
      </c>
      <c r="I207" s="44">
        <v>0</v>
      </c>
      <c r="J207" s="172"/>
    </row>
    <row r="208" spans="1:10">
      <c r="A208" s="175"/>
      <c r="B208" s="43" t="s">
        <v>37</v>
      </c>
      <c r="C208" s="43"/>
      <c r="D208" s="43" t="s">
        <v>90</v>
      </c>
      <c r="E208" s="43" t="s">
        <v>90</v>
      </c>
      <c r="F208" s="44">
        <v>15</v>
      </c>
      <c r="G208" s="44">
        <f t="shared" si="20"/>
        <v>11.25</v>
      </c>
      <c r="H208" s="44">
        <f t="shared" si="23"/>
        <v>3.75</v>
      </c>
      <c r="I208" s="44">
        <v>0</v>
      </c>
      <c r="J208" s="172"/>
    </row>
    <row r="209" spans="1:10">
      <c r="A209" s="176"/>
      <c r="B209" s="71" t="s">
        <v>38</v>
      </c>
      <c r="C209" s="43"/>
      <c r="D209" s="43" t="s">
        <v>90</v>
      </c>
      <c r="E209" s="43" t="s">
        <v>90</v>
      </c>
      <c r="F209" s="44">
        <v>15</v>
      </c>
      <c r="G209" s="44">
        <f t="shared" si="20"/>
        <v>11.25</v>
      </c>
      <c r="H209" s="44">
        <f t="shared" si="23"/>
        <v>3.75</v>
      </c>
      <c r="I209" s="44">
        <v>0</v>
      </c>
      <c r="J209" s="172"/>
    </row>
    <row r="210" spans="1:10">
      <c r="A210" s="174" t="s">
        <v>39</v>
      </c>
      <c r="B210" s="43" t="s">
        <v>40</v>
      </c>
      <c r="C210" s="43"/>
      <c r="D210" s="43" t="s">
        <v>90</v>
      </c>
      <c r="E210" s="43" t="s">
        <v>90</v>
      </c>
      <c r="F210" s="44">
        <v>10.5</v>
      </c>
      <c r="G210" s="44">
        <f t="shared" si="20"/>
        <v>7.875</v>
      </c>
      <c r="H210" s="44">
        <f t="shared" si="23"/>
        <v>2.625</v>
      </c>
      <c r="I210" s="44">
        <v>0</v>
      </c>
      <c r="J210" s="172"/>
    </row>
    <row r="211" spans="1:10">
      <c r="A211" s="175"/>
      <c r="B211" s="43" t="s">
        <v>41</v>
      </c>
      <c r="C211" s="43"/>
      <c r="D211" s="43" t="s">
        <v>90</v>
      </c>
      <c r="E211" s="43" t="s">
        <v>90</v>
      </c>
      <c r="F211" s="44">
        <v>10.5</v>
      </c>
      <c r="G211" s="44">
        <f t="shared" si="20"/>
        <v>7.875</v>
      </c>
      <c r="H211" s="44">
        <f t="shared" si="23"/>
        <v>2.625</v>
      </c>
      <c r="I211" s="44">
        <v>0</v>
      </c>
      <c r="J211" s="172"/>
    </row>
    <row r="212" spans="1:10">
      <c r="A212" s="175"/>
      <c r="B212" s="43" t="s">
        <v>42</v>
      </c>
      <c r="C212" s="43"/>
      <c r="D212" s="43" t="s">
        <v>90</v>
      </c>
      <c r="E212" s="43" t="s">
        <v>90</v>
      </c>
      <c r="F212" s="44">
        <v>10.5</v>
      </c>
      <c r="G212" s="44">
        <f t="shared" si="20"/>
        <v>7.875</v>
      </c>
      <c r="H212" s="44">
        <f t="shared" si="23"/>
        <v>2.625</v>
      </c>
      <c r="I212" s="44">
        <v>0</v>
      </c>
      <c r="J212" s="172"/>
    </row>
    <row r="213" spans="1:10">
      <c r="A213" s="176"/>
      <c r="B213" s="43" t="s">
        <v>43</v>
      </c>
      <c r="C213" s="43"/>
      <c r="D213" s="43" t="s">
        <v>90</v>
      </c>
      <c r="E213" s="43" t="s">
        <v>90</v>
      </c>
      <c r="F213" s="44">
        <v>10.5</v>
      </c>
      <c r="G213" s="44">
        <f t="shared" si="20"/>
        <v>7.875</v>
      </c>
      <c r="H213" s="44">
        <f t="shared" si="23"/>
        <v>2.625</v>
      </c>
      <c r="I213" s="44">
        <v>0</v>
      </c>
      <c r="J213" s="172"/>
    </row>
    <row r="214" spans="1:10">
      <c r="A214" s="174" t="s">
        <v>44</v>
      </c>
      <c r="B214" s="43" t="s">
        <v>45</v>
      </c>
      <c r="C214" s="43"/>
      <c r="D214" s="43" t="s">
        <v>90</v>
      </c>
      <c r="E214" s="43" t="s">
        <v>90</v>
      </c>
      <c r="F214" s="44">
        <v>11.5</v>
      </c>
      <c r="G214" s="44">
        <f t="shared" si="20"/>
        <v>8.625</v>
      </c>
      <c r="H214" s="44">
        <f t="shared" si="23"/>
        <v>2.875</v>
      </c>
      <c r="I214" s="44">
        <v>0</v>
      </c>
      <c r="J214" s="172"/>
    </row>
    <row r="215" spans="1:10">
      <c r="A215" s="175"/>
      <c r="B215" s="43" t="s">
        <v>46</v>
      </c>
      <c r="C215" s="43"/>
      <c r="D215" s="43" t="s">
        <v>90</v>
      </c>
      <c r="E215" s="43" t="s">
        <v>90</v>
      </c>
      <c r="F215" s="44">
        <v>11.5</v>
      </c>
      <c r="G215" s="44">
        <f t="shared" si="20"/>
        <v>8.625</v>
      </c>
      <c r="H215" s="44">
        <f t="shared" si="23"/>
        <v>2.875</v>
      </c>
      <c r="I215" s="44">
        <v>0</v>
      </c>
      <c r="J215" s="172"/>
    </row>
    <row r="216" spans="1:10">
      <c r="A216" s="175"/>
      <c r="B216" s="43" t="s">
        <v>47</v>
      </c>
      <c r="C216" s="43"/>
      <c r="D216" s="43" t="s">
        <v>90</v>
      </c>
      <c r="E216" s="43" t="s">
        <v>90</v>
      </c>
      <c r="F216" s="44">
        <v>11.5</v>
      </c>
      <c r="G216" s="44">
        <f t="shared" si="20"/>
        <v>8.625</v>
      </c>
      <c r="H216" s="44">
        <f t="shared" si="23"/>
        <v>2.875</v>
      </c>
      <c r="I216" s="44">
        <v>0</v>
      </c>
      <c r="J216" s="172"/>
    </row>
    <row r="217" spans="1:10">
      <c r="A217" s="175"/>
      <c r="B217" s="43" t="s">
        <v>48</v>
      </c>
      <c r="C217" s="43"/>
      <c r="D217" s="43" t="s">
        <v>90</v>
      </c>
      <c r="E217" s="43" t="s">
        <v>90</v>
      </c>
      <c r="F217" s="44">
        <v>11.5</v>
      </c>
      <c r="G217" s="44">
        <f t="shared" si="20"/>
        <v>8.625</v>
      </c>
      <c r="H217" s="44">
        <f t="shared" si="23"/>
        <v>2.875</v>
      </c>
      <c r="I217" s="44">
        <v>0</v>
      </c>
      <c r="J217" s="172"/>
    </row>
    <row r="218" spans="1:10">
      <c r="A218" s="175"/>
      <c r="B218" s="43" t="s">
        <v>49</v>
      </c>
      <c r="C218" s="43"/>
      <c r="D218" s="43" t="s">
        <v>90</v>
      </c>
      <c r="E218" s="43" t="s">
        <v>90</v>
      </c>
      <c r="F218" s="44">
        <v>11.5</v>
      </c>
      <c r="G218" s="44">
        <f t="shared" si="20"/>
        <v>8.625</v>
      </c>
      <c r="H218" s="44">
        <f t="shared" si="23"/>
        <v>2.875</v>
      </c>
      <c r="I218" s="44">
        <v>0</v>
      </c>
      <c r="J218" s="172"/>
    </row>
    <row r="219" spans="1:10">
      <c r="A219" s="175"/>
      <c r="B219" s="71" t="s">
        <v>50</v>
      </c>
      <c r="C219" s="43"/>
      <c r="D219" s="43" t="s">
        <v>90</v>
      </c>
      <c r="E219" s="43" t="s">
        <v>90</v>
      </c>
      <c r="F219" s="44">
        <v>11.5</v>
      </c>
      <c r="G219" s="44">
        <f t="shared" si="20"/>
        <v>8.625</v>
      </c>
      <c r="H219" s="44">
        <f t="shared" si="23"/>
        <v>2.875</v>
      </c>
      <c r="I219" s="44">
        <v>0</v>
      </c>
      <c r="J219" s="172"/>
    </row>
    <row r="220" spans="1:10">
      <c r="A220" s="176"/>
      <c r="B220" s="43" t="s">
        <v>51</v>
      </c>
      <c r="C220" s="43"/>
      <c r="D220" s="43" t="s">
        <v>90</v>
      </c>
      <c r="E220" s="43" t="s">
        <v>90</v>
      </c>
      <c r="F220" s="44">
        <v>11.5</v>
      </c>
      <c r="G220" s="44">
        <f t="shared" si="20"/>
        <v>8.625</v>
      </c>
      <c r="H220" s="44">
        <f t="shared" si="23"/>
        <v>2.875</v>
      </c>
      <c r="I220" s="44">
        <v>0</v>
      </c>
      <c r="J220" s="172"/>
    </row>
    <row r="221" spans="1:10">
      <c r="A221" s="177" t="s">
        <v>78</v>
      </c>
      <c r="B221" s="180" t="s">
        <v>79</v>
      </c>
      <c r="C221" s="46" t="s">
        <v>91</v>
      </c>
      <c r="D221" s="43" t="s">
        <v>90</v>
      </c>
      <c r="E221" s="43"/>
      <c r="F221" s="44">
        <v>8</v>
      </c>
      <c r="G221" s="44">
        <f t="shared" si="20"/>
        <v>6</v>
      </c>
      <c r="H221" s="44">
        <f t="shared" si="23"/>
        <v>2</v>
      </c>
      <c r="I221" s="44">
        <v>0</v>
      </c>
      <c r="J221" s="172"/>
    </row>
    <row r="222" spans="1:10" ht="30">
      <c r="A222" s="178"/>
      <c r="B222" s="181"/>
      <c r="C222" s="46" t="s">
        <v>92</v>
      </c>
      <c r="D222" s="43" t="s">
        <v>90</v>
      </c>
      <c r="E222" s="43"/>
      <c r="F222" s="44">
        <v>8</v>
      </c>
      <c r="G222" s="44">
        <f t="shared" si="20"/>
        <v>6</v>
      </c>
      <c r="H222" s="44">
        <f t="shared" si="23"/>
        <v>2</v>
      </c>
      <c r="I222" s="44">
        <v>0</v>
      </c>
      <c r="J222" s="172"/>
    </row>
    <row r="223" spans="1:10" ht="30">
      <c r="A223" s="178"/>
      <c r="B223" s="181"/>
      <c r="C223" s="46" t="s">
        <v>93</v>
      </c>
      <c r="D223" s="43" t="s">
        <v>90</v>
      </c>
      <c r="E223" s="43"/>
      <c r="F223" s="44">
        <v>8</v>
      </c>
      <c r="G223" s="44">
        <f t="shared" si="20"/>
        <v>6</v>
      </c>
      <c r="H223" s="44">
        <f t="shared" si="23"/>
        <v>2</v>
      </c>
      <c r="I223" s="44">
        <v>0</v>
      </c>
      <c r="J223" s="172"/>
    </row>
    <row r="224" spans="1:10">
      <c r="A224" s="179"/>
      <c r="B224" s="182"/>
      <c r="C224" s="46" t="s">
        <v>94</v>
      </c>
      <c r="D224" s="43" t="s">
        <v>90</v>
      </c>
      <c r="E224" s="43"/>
      <c r="F224" s="44">
        <v>8</v>
      </c>
      <c r="G224" s="44">
        <f t="shared" si="20"/>
        <v>6</v>
      </c>
      <c r="H224" s="44">
        <f t="shared" si="23"/>
        <v>2</v>
      </c>
      <c r="I224" s="44">
        <v>0</v>
      </c>
      <c r="J224" s="172"/>
    </row>
    <row r="225" spans="1:10">
      <c r="A225" s="174" t="s">
        <v>95</v>
      </c>
      <c r="B225" s="180" t="s">
        <v>79</v>
      </c>
      <c r="C225" s="46" t="s">
        <v>96</v>
      </c>
      <c r="D225" s="43"/>
      <c r="E225" s="43"/>
      <c r="F225" s="44">
        <v>12</v>
      </c>
      <c r="G225" s="44">
        <f t="shared" si="20"/>
        <v>9</v>
      </c>
      <c r="H225" s="44">
        <f t="shared" si="23"/>
        <v>3</v>
      </c>
      <c r="I225" s="44">
        <v>0</v>
      </c>
      <c r="J225" s="172"/>
    </row>
    <row r="226" spans="1:10" ht="15.75" thickBot="1">
      <c r="A226" s="183"/>
      <c r="B226" s="184"/>
      <c r="C226" s="47" t="s">
        <v>97</v>
      </c>
      <c r="D226" s="48"/>
      <c r="E226" s="48"/>
      <c r="F226" s="49">
        <v>12</v>
      </c>
      <c r="G226" s="49">
        <f t="shared" si="20"/>
        <v>9</v>
      </c>
      <c r="H226" s="49">
        <f t="shared" si="23"/>
        <v>3</v>
      </c>
      <c r="I226" s="49">
        <v>0</v>
      </c>
      <c r="J226" s="173"/>
    </row>
    <row r="227" spans="1:10">
      <c r="A227" s="45" t="s">
        <v>26</v>
      </c>
      <c r="B227" s="43" t="s">
        <v>27</v>
      </c>
      <c r="C227" s="43"/>
      <c r="D227" s="43" t="s">
        <v>98</v>
      </c>
      <c r="E227" s="43" t="s">
        <v>90</v>
      </c>
      <c r="F227" s="44">
        <f t="shared" ref="F227:F249" si="24">F202+2</f>
        <v>3.5</v>
      </c>
      <c r="G227" s="44">
        <f t="shared" ref="G227:G286" si="25">F227*75%</f>
        <v>2.625</v>
      </c>
      <c r="H227" s="44">
        <f t="shared" ref="H227:H282" si="26">F227*25%</f>
        <v>0.875</v>
      </c>
      <c r="I227" s="44">
        <v>0</v>
      </c>
      <c r="J227" s="185" t="s">
        <v>82</v>
      </c>
    </row>
    <row r="228" spans="1:10">
      <c r="A228" s="45" t="s">
        <v>28</v>
      </c>
      <c r="B228" s="43" t="s">
        <v>29</v>
      </c>
      <c r="C228" s="43"/>
      <c r="D228" s="43" t="s">
        <v>98</v>
      </c>
      <c r="E228" s="43" t="s">
        <v>90</v>
      </c>
      <c r="F228" s="44">
        <f t="shared" si="24"/>
        <v>12</v>
      </c>
      <c r="G228" s="44">
        <f t="shared" si="25"/>
        <v>9</v>
      </c>
      <c r="H228" s="44">
        <f t="shared" si="26"/>
        <v>3</v>
      </c>
      <c r="I228" s="44">
        <v>0</v>
      </c>
      <c r="J228" s="185"/>
    </row>
    <row r="229" spans="1:10">
      <c r="A229" s="45" t="s">
        <v>30</v>
      </c>
      <c r="B229" s="43" t="s">
        <v>31</v>
      </c>
      <c r="C229" s="43"/>
      <c r="D229" s="43" t="s">
        <v>98</v>
      </c>
      <c r="E229" s="43" t="s">
        <v>90</v>
      </c>
      <c r="F229" s="44">
        <f t="shared" si="24"/>
        <v>17.5</v>
      </c>
      <c r="G229" s="44">
        <f t="shared" si="25"/>
        <v>13.125</v>
      </c>
      <c r="H229" s="44">
        <f t="shared" si="26"/>
        <v>4.375</v>
      </c>
      <c r="I229" s="44">
        <v>0</v>
      </c>
      <c r="J229" s="185"/>
    </row>
    <row r="230" spans="1:10">
      <c r="A230" s="45" t="s">
        <v>32</v>
      </c>
      <c r="B230" s="43" t="s">
        <v>32</v>
      </c>
      <c r="C230" s="43"/>
      <c r="D230" s="43" t="s">
        <v>98</v>
      </c>
      <c r="E230" s="43" t="s">
        <v>90</v>
      </c>
      <c r="F230" s="44">
        <f t="shared" si="24"/>
        <v>17.5</v>
      </c>
      <c r="G230" s="44">
        <f t="shared" si="25"/>
        <v>13.125</v>
      </c>
      <c r="H230" s="44">
        <f t="shared" si="26"/>
        <v>4.375</v>
      </c>
      <c r="I230" s="44">
        <v>0</v>
      </c>
      <c r="J230" s="185"/>
    </row>
    <row r="231" spans="1:10">
      <c r="A231" s="45" t="s">
        <v>33</v>
      </c>
      <c r="B231" s="43" t="s">
        <v>34</v>
      </c>
      <c r="C231" s="43"/>
      <c r="D231" s="43" t="s">
        <v>98</v>
      </c>
      <c r="E231" s="43" t="s">
        <v>90</v>
      </c>
      <c r="F231" s="44">
        <f t="shared" si="24"/>
        <v>17.5</v>
      </c>
      <c r="G231" s="44">
        <f t="shared" si="25"/>
        <v>13.125</v>
      </c>
      <c r="H231" s="44">
        <f t="shared" si="26"/>
        <v>4.375</v>
      </c>
      <c r="I231" s="44">
        <v>0</v>
      </c>
      <c r="J231" s="185"/>
    </row>
    <row r="232" spans="1:10">
      <c r="A232" s="174" t="s">
        <v>35</v>
      </c>
      <c r="B232" s="43" t="s">
        <v>36</v>
      </c>
      <c r="C232" s="43"/>
      <c r="D232" s="43" t="s">
        <v>98</v>
      </c>
      <c r="E232" s="43" t="s">
        <v>90</v>
      </c>
      <c r="F232" s="44">
        <f t="shared" si="24"/>
        <v>17</v>
      </c>
      <c r="G232" s="44">
        <f t="shared" si="25"/>
        <v>12.75</v>
      </c>
      <c r="H232" s="44">
        <f t="shared" si="26"/>
        <v>4.25</v>
      </c>
      <c r="I232" s="44">
        <v>0</v>
      </c>
      <c r="J232" s="185"/>
    </row>
    <row r="233" spans="1:10">
      <c r="A233" s="175"/>
      <c r="B233" s="43" t="s">
        <v>37</v>
      </c>
      <c r="C233" s="43"/>
      <c r="D233" s="43" t="s">
        <v>98</v>
      </c>
      <c r="E233" s="43" t="s">
        <v>90</v>
      </c>
      <c r="F233" s="44">
        <f t="shared" si="24"/>
        <v>17</v>
      </c>
      <c r="G233" s="44">
        <f t="shared" si="25"/>
        <v>12.75</v>
      </c>
      <c r="H233" s="44">
        <f t="shared" si="26"/>
        <v>4.25</v>
      </c>
      <c r="I233" s="44">
        <v>0</v>
      </c>
      <c r="J233" s="185"/>
    </row>
    <row r="234" spans="1:10">
      <c r="A234" s="176"/>
      <c r="B234" s="71" t="s">
        <v>38</v>
      </c>
      <c r="C234" s="43"/>
      <c r="D234" s="43" t="s">
        <v>98</v>
      </c>
      <c r="E234" s="43" t="s">
        <v>90</v>
      </c>
      <c r="F234" s="44">
        <f t="shared" si="24"/>
        <v>17</v>
      </c>
      <c r="G234" s="44">
        <f t="shared" si="25"/>
        <v>12.75</v>
      </c>
      <c r="H234" s="44">
        <f t="shared" si="26"/>
        <v>4.25</v>
      </c>
      <c r="I234" s="44">
        <v>0</v>
      </c>
      <c r="J234" s="185"/>
    </row>
    <row r="235" spans="1:10">
      <c r="A235" s="174" t="s">
        <v>39</v>
      </c>
      <c r="B235" s="43" t="s">
        <v>40</v>
      </c>
      <c r="C235" s="43"/>
      <c r="D235" s="43" t="s">
        <v>98</v>
      </c>
      <c r="E235" s="43" t="s">
        <v>90</v>
      </c>
      <c r="F235" s="44">
        <f t="shared" si="24"/>
        <v>12.5</v>
      </c>
      <c r="G235" s="44">
        <f t="shared" si="25"/>
        <v>9.375</v>
      </c>
      <c r="H235" s="44">
        <f t="shared" si="26"/>
        <v>3.125</v>
      </c>
      <c r="I235" s="44">
        <v>0</v>
      </c>
      <c r="J235" s="185"/>
    </row>
    <row r="236" spans="1:10">
      <c r="A236" s="175"/>
      <c r="B236" s="43" t="s">
        <v>41</v>
      </c>
      <c r="C236" s="43"/>
      <c r="D236" s="43" t="s">
        <v>98</v>
      </c>
      <c r="E236" s="43" t="s">
        <v>90</v>
      </c>
      <c r="F236" s="44">
        <f t="shared" si="24"/>
        <v>12.5</v>
      </c>
      <c r="G236" s="44">
        <f t="shared" si="25"/>
        <v>9.375</v>
      </c>
      <c r="H236" s="44">
        <f t="shared" si="26"/>
        <v>3.125</v>
      </c>
      <c r="I236" s="44">
        <v>0</v>
      </c>
      <c r="J236" s="185"/>
    </row>
    <row r="237" spans="1:10">
      <c r="A237" s="175"/>
      <c r="B237" s="43" t="s">
        <v>42</v>
      </c>
      <c r="C237" s="43"/>
      <c r="D237" s="43" t="s">
        <v>98</v>
      </c>
      <c r="E237" s="43" t="s">
        <v>90</v>
      </c>
      <c r="F237" s="44">
        <f t="shared" si="24"/>
        <v>12.5</v>
      </c>
      <c r="G237" s="44">
        <f t="shared" si="25"/>
        <v>9.375</v>
      </c>
      <c r="H237" s="44">
        <f t="shared" si="26"/>
        <v>3.125</v>
      </c>
      <c r="I237" s="44">
        <v>0</v>
      </c>
      <c r="J237" s="185"/>
    </row>
    <row r="238" spans="1:10">
      <c r="A238" s="176"/>
      <c r="B238" s="43" t="s">
        <v>43</v>
      </c>
      <c r="C238" s="43"/>
      <c r="D238" s="43" t="s">
        <v>98</v>
      </c>
      <c r="E238" s="43" t="s">
        <v>90</v>
      </c>
      <c r="F238" s="44">
        <f t="shared" si="24"/>
        <v>12.5</v>
      </c>
      <c r="G238" s="44">
        <f t="shared" si="25"/>
        <v>9.375</v>
      </c>
      <c r="H238" s="44">
        <f t="shared" si="26"/>
        <v>3.125</v>
      </c>
      <c r="I238" s="44">
        <v>0</v>
      </c>
      <c r="J238" s="185"/>
    </row>
    <row r="239" spans="1:10">
      <c r="A239" s="174" t="s">
        <v>44</v>
      </c>
      <c r="B239" s="43" t="s">
        <v>45</v>
      </c>
      <c r="C239" s="43"/>
      <c r="D239" s="43" t="s">
        <v>98</v>
      </c>
      <c r="E239" s="43" t="s">
        <v>90</v>
      </c>
      <c r="F239" s="44">
        <f t="shared" si="24"/>
        <v>13.5</v>
      </c>
      <c r="G239" s="44">
        <f t="shared" si="25"/>
        <v>10.125</v>
      </c>
      <c r="H239" s="44">
        <f t="shared" si="26"/>
        <v>3.375</v>
      </c>
      <c r="I239" s="44">
        <v>0</v>
      </c>
      <c r="J239" s="185"/>
    </row>
    <row r="240" spans="1:10">
      <c r="A240" s="175"/>
      <c r="B240" s="43" t="s">
        <v>46</v>
      </c>
      <c r="C240" s="43"/>
      <c r="D240" s="43" t="s">
        <v>98</v>
      </c>
      <c r="E240" s="43" t="s">
        <v>90</v>
      </c>
      <c r="F240" s="44">
        <f t="shared" si="24"/>
        <v>13.5</v>
      </c>
      <c r="G240" s="44">
        <f t="shared" si="25"/>
        <v>10.125</v>
      </c>
      <c r="H240" s="44">
        <f t="shared" si="26"/>
        <v>3.375</v>
      </c>
      <c r="I240" s="44">
        <v>0</v>
      </c>
      <c r="J240" s="185"/>
    </row>
    <row r="241" spans="1:10">
      <c r="A241" s="175"/>
      <c r="B241" s="43" t="s">
        <v>47</v>
      </c>
      <c r="C241" s="43"/>
      <c r="D241" s="43" t="s">
        <v>98</v>
      </c>
      <c r="E241" s="43" t="s">
        <v>90</v>
      </c>
      <c r="F241" s="44">
        <f t="shared" si="24"/>
        <v>13.5</v>
      </c>
      <c r="G241" s="44">
        <f t="shared" si="25"/>
        <v>10.125</v>
      </c>
      <c r="H241" s="44">
        <f t="shared" si="26"/>
        <v>3.375</v>
      </c>
      <c r="I241" s="44">
        <v>0</v>
      </c>
      <c r="J241" s="185"/>
    </row>
    <row r="242" spans="1:10">
      <c r="A242" s="175"/>
      <c r="B242" s="43" t="s">
        <v>48</v>
      </c>
      <c r="C242" s="43"/>
      <c r="D242" s="43" t="s">
        <v>98</v>
      </c>
      <c r="E242" s="43" t="s">
        <v>90</v>
      </c>
      <c r="F242" s="44">
        <f t="shared" si="24"/>
        <v>13.5</v>
      </c>
      <c r="G242" s="44">
        <f t="shared" si="25"/>
        <v>10.125</v>
      </c>
      <c r="H242" s="44">
        <f t="shared" si="26"/>
        <v>3.375</v>
      </c>
      <c r="I242" s="44">
        <v>0</v>
      </c>
      <c r="J242" s="185"/>
    </row>
    <row r="243" spans="1:10">
      <c r="A243" s="175"/>
      <c r="B243" s="43" t="s">
        <v>49</v>
      </c>
      <c r="C243" s="43"/>
      <c r="D243" s="43" t="s">
        <v>98</v>
      </c>
      <c r="E243" s="43" t="s">
        <v>90</v>
      </c>
      <c r="F243" s="44">
        <f t="shared" si="24"/>
        <v>13.5</v>
      </c>
      <c r="G243" s="44">
        <f t="shared" si="25"/>
        <v>10.125</v>
      </c>
      <c r="H243" s="44">
        <f t="shared" si="26"/>
        <v>3.375</v>
      </c>
      <c r="I243" s="44">
        <v>0</v>
      </c>
      <c r="J243" s="185"/>
    </row>
    <row r="244" spans="1:10">
      <c r="A244" s="175"/>
      <c r="B244" s="71" t="s">
        <v>50</v>
      </c>
      <c r="C244" s="43"/>
      <c r="D244" s="43" t="s">
        <v>98</v>
      </c>
      <c r="E244" s="43" t="s">
        <v>90</v>
      </c>
      <c r="F244" s="44">
        <f t="shared" si="24"/>
        <v>13.5</v>
      </c>
      <c r="G244" s="44">
        <f t="shared" si="25"/>
        <v>10.125</v>
      </c>
      <c r="H244" s="44">
        <f t="shared" si="26"/>
        <v>3.375</v>
      </c>
      <c r="I244" s="44">
        <v>0</v>
      </c>
      <c r="J244" s="185"/>
    </row>
    <row r="245" spans="1:10">
      <c r="A245" s="176"/>
      <c r="B245" s="43" t="s">
        <v>51</v>
      </c>
      <c r="C245" s="43"/>
      <c r="D245" s="43" t="s">
        <v>98</v>
      </c>
      <c r="E245" s="43" t="s">
        <v>90</v>
      </c>
      <c r="F245" s="44">
        <f t="shared" si="24"/>
        <v>13.5</v>
      </c>
      <c r="G245" s="44">
        <f t="shared" si="25"/>
        <v>10.125</v>
      </c>
      <c r="H245" s="44">
        <f t="shared" si="26"/>
        <v>3.375</v>
      </c>
      <c r="I245" s="44">
        <v>0</v>
      </c>
      <c r="J245" s="185"/>
    </row>
    <row r="246" spans="1:10">
      <c r="A246" s="177" t="s">
        <v>78</v>
      </c>
      <c r="B246" s="180" t="s">
        <v>79</v>
      </c>
      <c r="C246" s="46" t="s">
        <v>91</v>
      </c>
      <c r="D246" s="43" t="s">
        <v>98</v>
      </c>
      <c r="E246" s="43"/>
      <c r="F246" s="44">
        <f t="shared" si="24"/>
        <v>10</v>
      </c>
      <c r="G246" s="44">
        <f t="shared" si="25"/>
        <v>7.5</v>
      </c>
      <c r="H246" s="44">
        <f t="shared" si="26"/>
        <v>2.5</v>
      </c>
      <c r="I246" s="44">
        <v>0</v>
      </c>
      <c r="J246" s="185"/>
    </row>
    <row r="247" spans="1:10" ht="30">
      <c r="A247" s="178"/>
      <c r="B247" s="181"/>
      <c r="C247" s="46" t="s">
        <v>92</v>
      </c>
      <c r="D247" s="43" t="s">
        <v>98</v>
      </c>
      <c r="E247" s="43"/>
      <c r="F247" s="44">
        <f t="shared" si="24"/>
        <v>10</v>
      </c>
      <c r="G247" s="44">
        <f t="shared" si="25"/>
        <v>7.5</v>
      </c>
      <c r="H247" s="44">
        <f t="shared" si="26"/>
        <v>2.5</v>
      </c>
      <c r="I247" s="44">
        <v>0</v>
      </c>
      <c r="J247" s="185"/>
    </row>
    <row r="248" spans="1:10" ht="30">
      <c r="A248" s="178"/>
      <c r="B248" s="181"/>
      <c r="C248" s="46" t="s">
        <v>93</v>
      </c>
      <c r="D248" s="43" t="s">
        <v>98</v>
      </c>
      <c r="E248" s="43"/>
      <c r="F248" s="44">
        <f t="shared" si="24"/>
        <v>10</v>
      </c>
      <c r="G248" s="44">
        <f t="shared" si="25"/>
        <v>7.5</v>
      </c>
      <c r="H248" s="44">
        <f t="shared" si="26"/>
        <v>2.5</v>
      </c>
      <c r="I248" s="44">
        <v>0</v>
      </c>
      <c r="J248" s="185"/>
    </row>
    <row r="249" spans="1:10" ht="15.75" thickBot="1">
      <c r="A249" s="187"/>
      <c r="B249" s="184"/>
      <c r="C249" s="47" t="s">
        <v>94</v>
      </c>
      <c r="D249" s="48" t="s">
        <v>98</v>
      </c>
      <c r="E249" s="48"/>
      <c r="F249" s="49">
        <f t="shared" si="24"/>
        <v>10</v>
      </c>
      <c r="G249" s="49">
        <f t="shared" si="25"/>
        <v>7.5</v>
      </c>
      <c r="H249" s="49">
        <f t="shared" si="26"/>
        <v>2.5</v>
      </c>
      <c r="I249" s="49">
        <v>0</v>
      </c>
      <c r="J249" s="186"/>
    </row>
    <row r="250" spans="1:10">
      <c r="A250" s="50" t="s">
        <v>26</v>
      </c>
      <c r="B250" s="51" t="s">
        <v>27</v>
      </c>
      <c r="C250" s="51"/>
      <c r="D250" s="51" t="s">
        <v>90</v>
      </c>
      <c r="E250" s="51" t="s">
        <v>98</v>
      </c>
      <c r="F250" s="52">
        <f>F202+1</f>
        <v>2.5</v>
      </c>
      <c r="G250" s="52">
        <f t="shared" si="25"/>
        <v>1.875</v>
      </c>
      <c r="H250" s="52">
        <f t="shared" si="26"/>
        <v>0.625</v>
      </c>
      <c r="I250" s="52">
        <v>0</v>
      </c>
      <c r="J250" s="188" t="s">
        <v>82</v>
      </c>
    </row>
    <row r="251" spans="1:10">
      <c r="A251" s="45" t="s">
        <v>28</v>
      </c>
      <c r="B251" s="43" t="s">
        <v>29</v>
      </c>
      <c r="C251" s="43"/>
      <c r="D251" s="43" t="s">
        <v>90</v>
      </c>
      <c r="E251" s="43" t="s">
        <v>98</v>
      </c>
      <c r="F251" s="44">
        <f t="shared" ref="F251:F268" si="27">F203+1</f>
        <v>11</v>
      </c>
      <c r="G251" s="44">
        <f t="shared" si="25"/>
        <v>8.25</v>
      </c>
      <c r="H251" s="44">
        <f t="shared" si="26"/>
        <v>2.75</v>
      </c>
      <c r="I251" s="44">
        <v>0</v>
      </c>
      <c r="J251" s="185"/>
    </row>
    <row r="252" spans="1:10">
      <c r="A252" s="45" t="s">
        <v>30</v>
      </c>
      <c r="B252" s="43" t="s">
        <v>31</v>
      </c>
      <c r="C252" s="43"/>
      <c r="D252" s="43" t="s">
        <v>90</v>
      </c>
      <c r="E252" s="43" t="s">
        <v>98</v>
      </c>
      <c r="F252" s="44">
        <f t="shared" si="27"/>
        <v>16.5</v>
      </c>
      <c r="G252" s="44">
        <f t="shared" si="25"/>
        <v>12.375</v>
      </c>
      <c r="H252" s="44">
        <f t="shared" si="26"/>
        <v>4.125</v>
      </c>
      <c r="I252" s="44">
        <v>0</v>
      </c>
      <c r="J252" s="185"/>
    </row>
    <row r="253" spans="1:10">
      <c r="A253" s="45" t="s">
        <v>32</v>
      </c>
      <c r="B253" s="43" t="s">
        <v>32</v>
      </c>
      <c r="C253" s="43"/>
      <c r="D253" s="43" t="s">
        <v>90</v>
      </c>
      <c r="E253" s="43" t="s">
        <v>98</v>
      </c>
      <c r="F253" s="44">
        <f t="shared" si="27"/>
        <v>16.5</v>
      </c>
      <c r="G253" s="44">
        <f t="shared" si="25"/>
        <v>12.375</v>
      </c>
      <c r="H253" s="44">
        <f t="shared" si="26"/>
        <v>4.125</v>
      </c>
      <c r="I253" s="44">
        <v>0</v>
      </c>
      <c r="J253" s="185"/>
    </row>
    <row r="254" spans="1:10">
      <c r="A254" s="45" t="s">
        <v>33</v>
      </c>
      <c r="B254" s="43" t="s">
        <v>34</v>
      </c>
      <c r="C254" s="43"/>
      <c r="D254" s="43" t="s">
        <v>90</v>
      </c>
      <c r="E254" s="43" t="s">
        <v>98</v>
      </c>
      <c r="F254" s="44">
        <f t="shared" si="27"/>
        <v>16.5</v>
      </c>
      <c r="G254" s="44">
        <f t="shared" si="25"/>
        <v>12.375</v>
      </c>
      <c r="H254" s="44">
        <f t="shared" si="26"/>
        <v>4.125</v>
      </c>
      <c r="I254" s="44">
        <v>0</v>
      </c>
      <c r="J254" s="185"/>
    </row>
    <row r="255" spans="1:10">
      <c r="A255" s="174" t="s">
        <v>35</v>
      </c>
      <c r="B255" s="43" t="s">
        <v>36</v>
      </c>
      <c r="C255" s="43"/>
      <c r="D255" s="43" t="s">
        <v>90</v>
      </c>
      <c r="E255" s="43" t="s">
        <v>98</v>
      </c>
      <c r="F255" s="44">
        <f t="shared" si="27"/>
        <v>16</v>
      </c>
      <c r="G255" s="44">
        <f t="shared" si="25"/>
        <v>12</v>
      </c>
      <c r="H255" s="44">
        <f t="shared" si="26"/>
        <v>4</v>
      </c>
      <c r="I255" s="44">
        <v>0</v>
      </c>
      <c r="J255" s="185"/>
    </row>
    <row r="256" spans="1:10">
      <c r="A256" s="175"/>
      <c r="B256" s="43" t="s">
        <v>37</v>
      </c>
      <c r="C256" s="43"/>
      <c r="D256" s="43" t="s">
        <v>90</v>
      </c>
      <c r="E256" s="43" t="s">
        <v>98</v>
      </c>
      <c r="F256" s="44">
        <f t="shared" si="27"/>
        <v>16</v>
      </c>
      <c r="G256" s="44">
        <f t="shared" si="25"/>
        <v>12</v>
      </c>
      <c r="H256" s="44">
        <f t="shared" si="26"/>
        <v>4</v>
      </c>
      <c r="I256" s="44">
        <v>0</v>
      </c>
      <c r="J256" s="185"/>
    </row>
    <row r="257" spans="1:10">
      <c r="A257" s="176"/>
      <c r="B257" s="71" t="s">
        <v>38</v>
      </c>
      <c r="C257" s="43"/>
      <c r="D257" s="43" t="s">
        <v>90</v>
      </c>
      <c r="E257" s="43" t="s">
        <v>98</v>
      </c>
      <c r="F257" s="44">
        <f t="shared" si="27"/>
        <v>16</v>
      </c>
      <c r="G257" s="44">
        <f t="shared" si="25"/>
        <v>12</v>
      </c>
      <c r="H257" s="44">
        <f t="shared" si="26"/>
        <v>4</v>
      </c>
      <c r="I257" s="44">
        <v>0</v>
      </c>
      <c r="J257" s="185"/>
    </row>
    <row r="258" spans="1:10">
      <c r="A258" s="174" t="s">
        <v>39</v>
      </c>
      <c r="B258" s="43" t="s">
        <v>40</v>
      </c>
      <c r="C258" s="43"/>
      <c r="D258" s="43" t="s">
        <v>90</v>
      </c>
      <c r="E258" s="43" t="s">
        <v>98</v>
      </c>
      <c r="F258" s="44">
        <f t="shared" si="27"/>
        <v>11.5</v>
      </c>
      <c r="G258" s="44">
        <f t="shared" si="25"/>
        <v>8.625</v>
      </c>
      <c r="H258" s="44">
        <f t="shared" si="26"/>
        <v>2.875</v>
      </c>
      <c r="I258" s="44">
        <v>0</v>
      </c>
      <c r="J258" s="185"/>
    </row>
    <row r="259" spans="1:10">
      <c r="A259" s="175"/>
      <c r="B259" s="43" t="s">
        <v>41</v>
      </c>
      <c r="C259" s="43"/>
      <c r="D259" s="43" t="s">
        <v>90</v>
      </c>
      <c r="E259" s="43" t="s">
        <v>98</v>
      </c>
      <c r="F259" s="44">
        <f t="shared" si="27"/>
        <v>11.5</v>
      </c>
      <c r="G259" s="44">
        <f t="shared" si="25"/>
        <v>8.625</v>
      </c>
      <c r="H259" s="44">
        <f t="shared" si="26"/>
        <v>2.875</v>
      </c>
      <c r="I259" s="44">
        <v>0</v>
      </c>
      <c r="J259" s="185"/>
    </row>
    <row r="260" spans="1:10">
      <c r="A260" s="175"/>
      <c r="B260" s="43" t="s">
        <v>42</v>
      </c>
      <c r="C260" s="43"/>
      <c r="D260" s="43" t="s">
        <v>90</v>
      </c>
      <c r="E260" s="43" t="s">
        <v>98</v>
      </c>
      <c r="F260" s="44">
        <f t="shared" si="27"/>
        <v>11.5</v>
      </c>
      <c r="G260" s="44">
        <f t="shared" si="25"/>
        <v>8.625</v>
      </c>
      <c r="H260" s="44">
        <f t="shared" si="26"/>
        <v>2.875</v>
      </c>
      <c r="I260" s="44">
        <v>0</v>
      </c>
      <c r="J260" s="185"/>
    </row>
    <row r="261" spans="1:10">
      <c r="A261" s="176"/>
      <c r="B261" s="43" t="s">
        <v>43</v>
      </c>
      <c r="C261" s="43"/>
      <c r="D261" s="43" t="s">
        <v>90</v>
      </c>
      <c r="E261" s="43" t="s">
        <v>98</v>
      </c>
      <c r="F261" s="44">
        <f t="shared" si="27"/>
        <v>11.5</v>
      </c>
      <c r="G261" s="44">
        <f t="shared" si="25"/>
        <v>8.625</v>
      </c>
      <c r="H261" s="44">
        <f t="shared" si="26"/>
        <v>2.875</v>
      </c>
      <c r="I261" s="44">
        <v>0</v>
      </c>
      <c r="J261" s="185"/>
    </row>
    <row r="262" spans="1:10">
      <c r="A262" s="174" t="s">
        <v>44</v>
      </c>
      <c r="B262" s="43" t="s">
        <v>45</v>
      </c>
      <c r="C262" s="43"/>
      <c r="D262" s="43" t="s">
        <v>90</v>
      </c>
      <c r="E262" s="43" t="s">
        <v>98</v>
      </c>
      <c r="F262" s="44">
        <f t="shared" si="27"/>
        <v>12.5</v>
      </c>
      <c r="G262" s="44">
        <f t="shared" si="25"/>
        <v>9.375</v>
      </c>
      <c r="H262" s="44">
        <f t="shared" si="26"/>
        <v>3.125</v>
      </c>
      <c r="I262" s="44">
        <v>0</v>
      </c>
      <c r="J262" s="185"/>
    </row>
    <row r="263" spans="1:10">
      <c r="A263" s="175"/>
      <c r="B263" s="43" t="s">
        <v>46</v>
      </c>
      <c r="C263" s="43"/>
      <c r="D263" s="43" t="s">
        <v>90</v>
      </c>
      <c r="E263" s="43" t="s">
        <v>98</v>
      </c>
      <c r="F263" s="44">
        <f t="shared" si="27"/>
        <v>12.5</v>
      </c>
      <c r="G263" s="44">
        <f t="shared" si="25"/>
        <v>9.375</v>
      </c>
      <c r="H263" s="44">
        <f t="shared" si="26"/>
        <v>3.125</v>
      </c>
      <c r="I263" s="44">
        <v>0</v>
      </c>
      <c r="J263" s="185"/>
    </row>
    <row r="264" spans="1:10">
      <c r="A264" s="175"/>
      <c r="B264" s="43" t="s">
        <v>47</v>
      </c>
      <c r="C264" s="43"/>
      <c r="D264" s="43" t="s">
        <v>90</v>
      </c>
      <c r="E264" s="43" t="s">
        <v>98</v>
      </c>
      <c r="F264" s="44">
        <f t="shared" si="27"/>
        <v>12.5</v>
      </c>
      <c r="G264" s="44">
        <f t="shared" si="25"/>
        <v>9.375</v>
      </c>
      <c r="H264" s="44">
        <f t="shared" si="26"/>
        <v>3.125</v>
      </c>
      <c r="I264" s="44">
        <v>0</v>
      </c>
      <c r="J264" s="185"/>
    </row>
    <row r="265" spans="1:10">
      <c r="A265" s="175"/>
      <c r="B265" s="43" t="s">
        <v>48</v>
      </c>
      <c r="C265" s="43"/>
      <c r="D265" s="43" t="s">
        <v>90</v>
      </c>
      <c r="E265" s="43" t="s">
        <v>98</v>
      </c>
      <c r="F265" s="44">
        <f t="shared" si="27"/>
        <v>12.5</v>
      </c>
      <c r="G265" s="44">
        <f t="shared" si="25"/>
        <v>9.375</v>
      </c>
      <c r="H265" s="44">
        <f t="shared" si="26"/>
        <v>3.125</v>
      </c>
      <c r="I265" s="44">
        <v>0</v>
      </c>
      <c r="J265" s="185"/>
    </row>
    <row r="266" spans="1:10">
      <c r="A266" s="175"/>
      <c r="B266" s="43" t="s">
        <v>49</v>
      </c>
      <c r="C266" s="43"/>
      <c r="D266" s="43" t="s">
        <v>90</v>
      </c>
      <c r="E266" s="43" t="s">
        <v>98</v>
      </c>
      <c r="F266" s="44">
        <f t="shared" si="27"/>
        <v>12.5</v>
      </c>
      <c r="G266" s="44">
        <f t="shared" si="25"/>
        <v>9.375</v>
      </c>
      <c r="H266" s="44">
        <f t="shared" si="26"/>
        <v>3.125</v>
      </c>
      <c r="I266" s="44">
        <v>0</v>
      </c>
      <c r="J266" s="185"/>
    </row>
    <row r="267" spans="1:10">
      <c r="A267" s="175"/>
      <c r="B267" s="71" t="s">
        <v>50</v>
      </c>
      <c r="C267" s="43"/>
      <c r="D267" s="43" t="s">
        <v>90</v>
      </c>
      <c r="E267" s="43" t="s">
        <v>98</v>
      </c>
      <c r="F267" s="44">
        <f t="shared" si="27"/>
        <v>12.5</v>
      </c>
      <c r="G267" s="44">
        <f t="shared" si="25"/>
        <v>9.375</v>
      </c>
      <c r="H267" s="44">
        <f t="shared" si="26"/>
        <v>3.125</v>
      </c>
      <c r="I267" s="44">
        <v>0</v>
      </c>
      <c r="J267" s="185"/>
    </row>
    <row r="268" spans="1:10" ht="15.75" thickBot="1">
      <c r="A268" s="175"/>
      <c r="B268" s="53" t="s">
        <v>51</v>
      </c>
      <c r="C268" s="53"/>
      <c r="D268" s="53" t="s">
        <v>90</v>
      </c>
      <c r="E268" s="53" t="s">
        <v>98</v>
      </c>
      <c r="F268" s="54">
        <f t="shared" si="27"/>
        <v>12.5</v>
      </c>
      <c r="G268" s="54">
        <f t="shared" si="25"/>
        <v>9.375</v>
      </c>
      <c r="H268" s="54">
        <f t="shared" si="26"/>
        <v>3.125</v>
      </c>
      <c r="I268" s="54">
        <v>0</v>
      </c>
      <c r="J268" s="189"/>
    </row>
    <row r="269" spans="1:10">
      <c r="A269" s="39" t="s">
        <v>26</v>
      </c>
      <c r="B269" s="40" t="s">
        <v>27</v>
      </c>
      <c r="C269" s="40"/>
      <c r="D269" s="40" t="s">
        <v>98</v>
      </c>
      <c r="E269" s="40" t="s">
        <v>98</v>
      </c>
      <c r="F269" s="42">
        <f>F202+3</f>
        <v>4.5</v>
      </c>
      <c r="G269" s="42">
        <f t="shared" si="25"/>
        <v>3.375</v>
      </c>
      <c r="H269" s="42">
        <f t="shared" si="26"/>
        <v>1.125</v>
      </c>
      <c r="I269" s="42">
        <v>0</v>
      </c>
      <c r="J269" s="171" t="s">
        <v>82</v>
      </c>
    </row>
    <row r="270" spans="1:10">
      <c r="A270" s="45" t="s">
        <v>28</v>
      </c>
      <c r="B270" s="43" t="s">
        <v>29</v>
      </c>
      <c r="C270" s="43"/>
      <c r="D270" s="43" t="s">
        <v>98</v>
      </c>
      <c r="E270" s="43" t="s">
        <v>98</v>
      </c>
      <c r="F270" s="44">
        <f t="shared" ref="F270:F287" si="28">F203+3</f>
        <v>13</v>
      </c>
      <c r="G270" s="44">
        <f t="shared" si="25"/>
        <v>9.75</v>
      </c>
      <c r="H270" s="44">
        <f t="shared" si="26"/>
        <v>3.25</v>
      </c>
      <c r="I270" s="44">
        <v>0</v>
      </c>
      <c r="J270" s="172"/>
    </row>
    <row r="271" spans="1:10">
      <c r="A271" s="45" t="s">
        <v>30</v>
      </c>
      <c r="B271" s="43" t="s">
        <v>31</v>
      </c>
      <c r="C271" s="43"/>
      <c r="D271" s="43" t="s">
        <v>98</v>
      </c>
      <c r="E271" s="43" t="s">
        <v>98</v>
      </c>
      <c r="F271" s="44">
        <f t="shared" si="28"/>
        <v>18.5</v>
      </c>
      <c r="G271" s="44">
        <f t="shared" si="25"/>
        <v>13.875</v>
      </c>
      <c r="H271" s="44">
        <f t="shared" si="26"/>
        <v>4.625</v>
      </c>
      <c r="I271" s="44">
        <v>0</v>
      </c>
      <c r="J271" s="172"/>
    </row>
    <row r="272" spans="1:10">
      <c r="A272" s="45" t="s">
        <v>32</v>
      </c>
      <c r="B272" s="43" t="s">
        <v>32</v>
      </c>
      <c r="C272" s="43"/>
      <c r="D272" s="43" t="s">
        <v>98</v>
      </c>
      <c r="E272" s="43" t="s">
        <v>98</v>
      </c>
      <c r="F272" s="44">
        <f t="shared" si="28"/>
        <v>18.5</v>
      </c>
      <c r="G272" s="44">
        <f t="shared" si="25"/>
        <v>13.875</v>
      </c>
      <c r="H272" s="44">
        <f t="shared" si="26"/>
        <v>4.625</v>
      </c>
      <c r="I272" s="44">
        <v>0</v>
      </c>
      <c r="J272" s="172"/>
    </row>
    <row r="273" spans="1:10">
      <c r="A273" s="45" t="s">
        <v>33</v>
      </c>
      <c r="B273" s="43" t="s">
        <v>34</v>
      </c>
      <c r="C273" s="43"/>
      <c r="D273" s="43" t="s">
        <v>98</v>
      </c>
      <c r="E273" s="43" t="s">
        <v>98</v>
      </c>
      <c r="F273" s="44">
        <f t="shared" si="28"/>
        <v>18.5</v>
      </c>
      <c r="G273" s="44">
        <f t="shared" si="25"/>
        <v>13.875</v>
      </c>
      <c r="H273" s="44">
        <f t="shared" si="26"/>
        <v>4.625</v>
      </c>
      <c r="I273" s="44">
        <v>0</v>
      </c>
      <c r="J273" s="172"/>
    </row>
    <row r="274" spans="1:10">
      <c r="A274" s="174" t="s">
        <v>35</v>
      </c>
      <c r="B274" s="43" t="s">
        <v>36</v>
      </c>
      <c r="C274" s="43"/>
      <c r="D274" s="43" t="s">
        <v>98</v>
      </c>
      <c r="E274" s="43" t="s">
        <v>98</v>
      </c>
      <c r="F274" s="44">
        <f t="shared" si="28"/>
        <v>18</v>
      </c>
      <c r="G274" s="44">
        <f t="shared" si="25"/>
        <v>13.5</v>
      </c>
      <c r="H274" s="44">
        <f t="shared" si="26"/>
        <v>4.5</v>
      </c>
      <c r="I274" s="44">
        <v>0</v>
      </c>
      <c r="J274" s="172"/>
    </row>
    <row r="275" spans="1:10">
      <c r="A275" s="175"/>
      <c r="B275" s="43" t="s">
        <v>37</v>
      </c>
      <c r="C275" s="43"/>
      <c r="D275" s="43" t="s">
        <v>98</v>
      </c>
      <c r="E275" s="43" t="s">
        <v>98</v>
      </c>
      <c r="F275" s="44">
        <f t="shared" si="28"/>
        <v>18</v>
      </c>
      <c r="G275" s="44">
        <f t="shared" si="25"/>
        <v>13.5</v>
      </c>
      <c r="H275" s="44">
        <f t="shared" si="26"/>
        <v>4.5</v>
      </c>
      <c r="I275" s="44">
        <v>0</v>
      </c>
      <c r="J275" s="172"/>
    </row>
    <row r="276" spans="1:10">
      <c r="A276" s="176"/>
      <c r="B276" s="71" t="s">
        <v>38</v>
      </c>
      <c r="C276" s="43"/>
      <c r="D276" s="43" t="s">
        <v>98</v>
      </c>
      <c r="E276" s="43" t="s">
        <v>98</v>
      </c>
      <c r="F276" s="44">
        <f t="shared" si="28"/>
        <v>18</v>
      </c>
      <c r="G276" s="44">
        <f t="shared" si="25"/>
        <v>13.5</v>
      </c>
      <c r="H276" s="44">
        <f t="shared" si="26"/>
        <v>4.5</v>
      </c>
      <c r="I276" s="44">
        <v>0</v>
      </c>
      <c r="J276" s="172"/>
    </row>
    <row r="277" spans="1:10">
      <c r="A277" s="174" t="s">
        <v>39</v>
      </c>
      <c r="B277" s="43" t="s">
        <v>40</v>
      </c>
      <c r="C277" s="43"/>
      <c r="D277" s="43" t="s">
        <v>98</v>
      </c>
      <c r="E277" s="43" t="s">
        <v>98</v>
      </c>
      <c r="F277" s="44">
        <f t="shared" si="28"/>
        <v>13.5</v>
      </c>
      <c r="G277" s="44">
        <f t="shared" si="25"/>
        <v>10.125</v>
      </c>
      <c r="H277" s="44">
        <f t="shared" si="26"/>
        <v>3.375</v>
      </c>
      <c r="I277" s="44">
        <v>0</v>
      </c>
      <c r="J277" s="172"/>
    </row>
    <row r="278" spans="1:10">
      <c r="A278" s="175"/>
      <c r="B278" s="43" t="s">
        <v>41</v>
      </c>
      <c r="C278" s="43"/>
      <c r="D278" s="43" t="s">
        <v>98</v>
      </c>
      <c r="E278" s="43" t="s">
        <v>98</v>
      </c>
      <c r="F278" s="44">
        <f t="shared" si="28"/>
        <v>13.5</v>
      </c>
      <c r="G278" s="44">
        <f t="shared" si="25"/>
        <v>10.125</v>
      </c>
      <c r="H278" s="44">
        <f t="shared" si="26"/>
        <v>3.375</v>
      </c>
      <c r="I278" s="44">
        <v>0</v>
      </c>
      <c r="J278" s="172"/>
    </row>
    <row r="279" spans="1:10">
      <c r="A279" s="175"/>
      <c r="B279" s="43" t="s">
        <v>42</v>
      </c>
      <c r="C279" s="43"/>
      <c r="D279" s="43" t="s">
        <v>98</v>
      </c>
      <c r="E279" s="43" t="s">
        <v>98</v>
      </c>
      <c r="F279" s="44">
        <f t="shared" si="28"/>
        <v>13.5</v>
      </c>
      <c r="G279" s="44">
        <f t="shared" si="25"/>
        <v>10.125</v>
      </c>
      <c r="H279" s="44">
        <f t="shared" si="26"/>
        <v>3.375</v>
      </c>
      <c r="I279" s="44">
        <v>0</v>
      </c>
      <c r="J279" s="172"/>
    </row>
    <row r="280" spans="1:10">
      <c r="A280" s="176"/>
      <c r="B280" s="43" t="s">
        <v>43</v>
      </c>
      <c r="C280" s="43"/>
      <c r="D280" s="43" t="s">
        <v>98</v>
      </c>
      <c r="E280" s="43" t="s">
        <v>98</v>
      </c>
      <c r="F280" s="44">
        <f t="shared" si="28"/>
        <v>13.5</v>
      </c>
      <c r="G280" s="44">
        <f t="shared" si="25"/>
        <v>10.125</v>
      </c>
      <c r="H280" s="44">
        <f t="shared" si="26"/>
        <v>3.375</v>
      </c>
      <c r="I280" s="44">
        <v>0</v>
      </c>
      <c r="J280" s="172"/>
    </row>
    <row r="281" spans="1:10">
      <c r="A281" s="174" t="s">
        <v>44</v>
      </c>
      <c r="B281" s="43" t="s">
        <v>45</v>
      </c>
      <c r="C281" s="43"/>
      <c r="D281" s="43" t="s">
        <v>98</v>
      </c>
      <c r="E281" s="43" t="s">
        <v>98</v>
      </c>
      <c r="F281" s="44">
        <f t="shared" si="28"/>
        <v>14.5</v>
      </c>
      <c r="G281" s="44">
        <f t="shared" si="25"/>
        <v>10.875</v>
      </c>
      <c r="H281" s="44">
        <f t="shared" si="26"/>
        <v>3.625</v>
      </c>
      <c r="I281" s="44">
        <v>0</v>
      </c>
      <c r="J281" s="172"/>
    </row>
    <row r="282" spans="1:10">
      <c r="A282" s="175"/>
      <c r="B282" s="43" t="s">
        <v>46</v>
      </c>
      <c r="C282" s="43"/>
      <c r="D282" s="43" t="s">
        <v>98</v>
      </c>
      <c r="E282" s="43" t="s">
        <v>98</v>
      </c>
      <c r="F282" s="44">
        <f t="shared" si="28"/>
        <v>14.5</v>
      </c>
      <c r="G282" s="44">
        <f t="shared" si="25"/>
        <v>10.875</v>
      </c>
      <c r="H282" s="44">
        <f t="shared" si="26"/>
        <v>3.625</v>
      </c>
      <c r="I282" s="44">
        <v>0</v>
      </c>
      <c r="J282" s="172"/>
    </row>
    <row r="283" spans="1:10">
      <c r="A283" s="175"/>
      <c r="B283" s="43" t="s">
        <v>47</v>
      </c>
      <c r="C283" s="43"/>
      <c r="D283" s="43" t="s">
        <v>98</v>
      </c>
      <c r="E283" s="43" t="s">
        <v>98</v>
      </c>
      <c r="F283" s="44">
        <f t="shared" si="28"/>
        <v>14.5</v>
      </c>
      <c r="G283" s="44">
        <f t="shared" si="25"/>
        <v>10.875</v>
      </c>
      <c r="H283" s="44">
        <f t="shared" ref="H283:H287" si="29">F283*25%</f>
        <v>3.625</v>
      </c>
      <c r="I283" s="44">
        <v>0</v>
      </c>
      <c r="J283" s="172"/>
    </row>
    <row r="284" spans="1:10">
      <c r="A284" s="175"/>
      <c r="B284" s="43" t="s">
        <v>48</v>
      </c>
      <c r="C284" s="43"/>
      <c r="D284" s="43" t="s">
        <v>98</v>
      </c>
      <c r="E284" s="43" t="s">
        <v>98</v>
      </c>
      <c r="F284" s="44">
        <f t="shared" si="28"/>
        <v>14.5</v>
      </c>
      <c r="G284" s="44">
        <f t="shared" si="25"/>
        <v>10.875</v>
      </c>
      <c r="H284" s="44">
        <f t="shared" si="29"/>
        <v>3.625</v>
      </c>
      <c r="I284" s="44">
        <v>0</v>
      </c>
      <c r="J284" s="172"/>
    </row>
    <row r="285" spans="1:10">
      <c r="A285" s="175"/>
      <c r="B285" s="43" t="s">
        <v>49</v>
      </c>
      <c r="C285" s="43"/>
      <c r="D285" s="43" t="s">
        <v>98</v>
      </c>
      <c r="E285" s="43" t="s">
        <v>98</v>
      </c>
      <c r="F285" s="44">
        <f t="shared" si="28"/>
        <v>14.5</v>
      </c>
      <c r="G285" s="44">
        <f t="shared" si="25"/>
        <v>10.875</v>
      </c>
      <c r="H285" s="44">
        <f t="shared" si="29"/>
        <v>3.625</v>
      </c>
      <c r="I285" s="44">
        <v>0</v>
      </c>
      <c r="J285" s="172"/>
    </row>
    <row r="286" spans="1:10">
      <c r="A286" s="175"/>
      <c r="B286" s="71" t="s">
        <v>50</v>
      </c>
      <c r="C286" s="43"/>
      <c r="D286" s="43" t="s">
        <v>98</v>
      </c>
      <c r="E286" s="43" t="s">
        <v>98</v>
      </c>
      <c r="F286" s="44">
        <f t="shared" si="28"/>
        <v>14.5</v>
      </c>
      <c r="G286" s="44">
        <f t="shared" si="25"/>
        <v>10.875</v>
      </c>
      <c r="H286" s="44">
        <f t="shared" si="29"/>
        <v>3.625</v>
      </c>
      <c r="I286" s="44">
        <v>0</v>
      </c>
      <c r="J286" s="172"/>
    </row>
    <row r="287" spans="1:10" ht="15.75" thickBot="1">
      <c r="A287" s="183"/>
      <c r="B287" s="48" t="s">
        <v>51</v>
      </c>
      <c r="C287" s="48"/>
      <c r="D287" s="48" t="s">
        <v>98</v>
      </c>
      <c r="E287" s="48" t="s">
        <v>98</v>
      </c>
      <c r="F287" s="49">
        <f t="shared" si="28"/>
        <v>14.5</v>
      </c>
      <c r="G287" s="49">
        <f t="shared" ref="G287" si="30">F287*75%</f>
        <v>10.875</v>
      </c>
      <c r="H287" s="49">
        <f t="shared" si="29"/>
        <v>3.625</v>
      </c>
      <c r="I287" s="49">
        <v>0</v>
      </c>
      <c r="J287" s="173"/>
    </row>
  </sheetData>
  <autoFilter ref="A2:J287" xr:uid="{00000000-0009-0000-0000-000004000000}"/>
  <mergeCells count="76">
    <mergeCell ref="J250:J268"/>
    <mergeCell ref="A255:A257"/>
    <mergeCell ref="A258:A261"/>
    <mergeCell ref="A262:A268"/>
    <mergeCell ref="J269:J287"/>
    <mergeCell ref="A274:A276"/>
    <mergeCell ref="A277:A280"/>
    <mergeCell ref="A281:A287"/>
    <mergeCell ref="J227:J249"/>
    <mergeCell ref="A232:A234"/>
    <mergeCell ref="A235:A238"/>
    <mergeCell ref="A239:A245"/>
    <mergeCell ref="A246:A249"/>
    <mergeCell ref="B246:B249"/>
    <mergeCell ref="J193:J226"/>
    <mergeCell ref="A194:A201"/>
    <mergeCell ref="A207:A209"/>
    <mergeCell ref="A210:A213"/>
    <mergeCell ref="A214:A220"/>
    <mergeCell ref="A221:A224"/>
    <mergeCell ref="B221:B224"/>
    <mergeCell ref="A225:A226"/>
    <mergeCell ref="B225:B226"/>
    <mergeCell ref="J174:J192"/>
    <mergeCell ref="A179:A181"/>
    <mergeCell ref="A182:A185"/>
    <mergeCell ref="A186:A192"/>
    <mergeCell ref="J155:J173"/>
    <mergeCell ref="A160:A162"/>
    <mergeCell ref="A163:A166"/>
    <mergeCell ref="A167:A173"/>
    <mergeCell ref="J132:J154"/>
    <mergeCell ref="A137:A139"/>
    <mergeCell ref="A140:A143"/>
    <mergeCell ref="A144:A150"/>
    <mergeCell ref="A151:A154"/>
    <mergeCell ref="B151:B154"/>
    <mergeCell ref="J98:J131"/>
    <mergeCell ref="A99:A106"/>
    <mergeCell ref="A112:A114"/>
    <mergeCell ref="A115:A118"/>
    <mergeCell ref="A119:A125"/>
    <mergeCell ref="A126:A129"/>
    <mergeCell ref="B126:B129"/>
    <mergeCell ref="A130:A131"/>
    <mergeCell ref="B130:B131"/>
    <mergeCell ref="J79:J97"/>
    <mergeCell ref="A84:A86"/>
    <mergeCell ref="A87:A90"/>
    <mergeCell ref="A91:A97"/>
    <mergeCell ref="J60:J78"/>
    <mergeCell ref="A65:A67"/>
    <mergeCell ref="A68:A71"/>
    <mergeCell ref="A72:A78"/>
    <mergeCell ref="J37:J59"/>
    <mergeCell ref="A42:A44"/>
    <mergeCell ref="A45:A48"/>
    <mergeCell ref="A49:A55"/>
    <mergeCell ref="A56:A59"/>
    <mergeCell ref="B56:B59"/>
    <mergeCell ref="J1:J2"/>
    <mergeCell ref="J3:J36"/>
    <mergeCell ref="A4:A11"/>
    <mergeCell ref="A17:A19"/>
    <mergeCell ref="A20:A23"/>
    <mergeCell ref="A24:A30"/>
    <mergeCell ref="A31:A34"/>
    <mergeCell ref="B31:B34"/>
    <mergeCell ref="A35:A36"/>
    <mergeCell ref="B35:B36"/>
    <mergeCell ref="A1:A2"/>
    <mergeCell ref="B1:E1"/>
    <mergeCell ref="F1:F2"/>
    <mergeCell ref="G1:G2"/>
    <mergeCell ref="H1:H2"/>
    <mergeCell ref="I1:I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1"/>
  <sheetViews>
    <sheetView workbookViewId="0">
      <selection activeCell="C2" sqref="C2"/>
    </sheetView>
  </sheetViews>
  <sheetFormatPr defaultRowHeight="15"/>
  <cols>
    <col min="1" max="1" width="97.140625" bestFit="1" customWidth="1"/>
    <col min="2" max="2" width="24.42578125" customWidth="1"/>
    <col min="3" max="5" width="22.140625" customWidth="1"/>
    <col min="6" max="6" width="24.28515625" customWidth="1"/>
  </cols>
  <sheetData>
    <row r="1" spans="1:2" ht="26.25" customHeight="1">
      <c r="A1" s="77" t="s">
        <v>100</v>
      </c>
      <c r="B1" s="77" t="s">
        <v>101</v>
      </c>
    </row>
    <row r="2" spans="1:2">
      <c r="A2" s="1" t="s">
        <v>102</v>
      </c>
      <c r="B2" s="1" t="s">
        <v>103</v>
      </c>
    </row>
    <row r="3" spans="1:2">
      <c r="A3" s="1" t="s">
        <v>104</v>
      </c>
      <c r="B3" s="1" t="s">
        <v>105</v>
      </c>
    </row>
    <row r="5" spans="1:2" ht="26.25" customHeight="1">
      <c r="A5" s="77" t="s">
        <v>100</v>
      </c>
      <c r="B5" s="77" t="s">
        <v>106</v>
      </c>
    </row>
    <row r="6" spans="1:2">
      <c r="A6" s="1" t="s">
        <v>107</v>
      </c>
      <c r="B6" s="1" t="s">
        <v>103</v>
      </c>
    </row>
    <row r="7" spans="1:2">
      <c r="A7" s="1" t="s">
        <v>108</v>
      </c>
      <c r="B7" s="1" t="s">
        <v>105</v>
      </c>
    </row>
    <row r="9" spans="1:2" ht="26.25" customHeight="1">
      <c r="A9" s="77" t="s">
        <v>100</v>
      </c>
      <c r="B9" s="77" t="s">
        <v>109</v>
      </c>
    </row>
    <row r="10" spans="1:2">
      <c r="A10" s="1" t="s">
        <v>110</v>
      </c>
      <c r="B10" s="1" t="s">
        <v>103</v>
      </c>
    </row>
    <row r="11" spans="1:2">
      <c r="A11" s="1" t="s">
        <v>111</v>
      </c>
      <c r="B11" s="1" t="s">
        <v>105</v>
      </c>
    </row>
    <row r="13" spans="1:2" ht="26.25" customHeight="1">
      <c r="A13" s="77" t="s">
        <v>100</v>
      </c>
      <c r="B13" s="77" t="s">
        <v>112</v>
      </c>
    </row>
    <row r="14" spans="1:2">
      <c r="A14" s="1" t="s">
        <v>113</v>
      </c>
      <c r="B14" s="1" t="s">
        <v>103</v>
      </c>
    </row>
    <row r="15" spans="1:2">
      <c r="A15" s="1" t="s">
        <v>114</v>
      </c>
      <c r="B15" s="1" t="s">
        <v>105</v>
      </c>
    </row>
    <row r="17" spans="1:2" ht="26.25" customHeight="1">
      <c r="A17" s="13" t="s">
        <v>100</v>
      </c>
      <c r="B17" s="13" t="s">
        <v>115</v>
      </c>
    </row>
    <row r="18" spans="1:2">
      <c r="A18" s="1" t="s">
        <v>116</v>
      </c>
      <c r="B18" s="1" t="s">
        <v>103</v>
      </c>
    </row>
    <row r="19" spans="1:2">
      <c r="A19" s="1" t="s">
        <v>117</v>
      </c>
      <c r="B19" s="1" t="s">
        <v>105</v>
      </c>
    </row>
    <row r="21" spans="1:2" ht="26.25" customHeight="1">
      <c r="A21" s="13" t="s">
        <v>100</v>
      </c>
      <c r="B21" s="13" t="s">
        <v>118</v>
      </c>
    </row>
    <row r="22" spans="1:2">
      <c r="A22" s="1" t="s">
        <v>119</v>
      </c>
      <c r="B22" s="1" t="s">
        <v>103</v>
      </c>
    </row>
    <row r="23" spans="1:2">
      <c r="A23" s="1" t="s">
        <v>120</v>
      </c>
      <c r="B23" s="1" t="s">
        <v>105</v>
      </c>
    </row>
    <row r="25" spans="1:2" ht="26.25" customHeight="1">
      <c r="A25" s="13" t="s">
        <v>100</v>
      </c>
      <c r="B25" s="13" t="s">
        <v>121</v>
      </c>
    </row>
    <row r="26" spans="1:2">
      <c r="A26" s="1" t="s">
        <v>122</v>
      </c>
      <c r="B26" s="1" t="s">
        <v>103</v>
      </c>
    </row>
    <row r="27" spans="1:2">
      <c r="A27" s="1" t="s">
        <v>123</v>
      </c>
      <c r="B27" s="1" t="s">
        <v>105</v>
      </c>
    </row>
    <row r="29" spans="1:2" ht="26.25" customHeight="1">
      <c r="A29" s="13" t="s">
        <v>100</v>
      </c>
      <c r="B29" s="13" t="s">
        <v>124</v>
      </c>
    </row>
    <row r="30" spans="1:2">
      <c r="A30" s="1" t="s">
        <v>125</v>
      </c>
      <c r="B30" s="1" t="s">
        <v>103</v>
      </c>
    </row>
    <row r="31" spans="1:2">
      <c r="A31" s="1" t="s">
        <v>126</v>
      </c>
      <c r="B31" s="1" t="s">
        <v>105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ee7d2db8-e84f-4c9c-a400-da572860bdfa" origin="userSelected">
  <element uid="id_classification_internalonly" value=""/>
  <element uid="b08b8ee4-b257-4e42-b442-def8fbf438ad" value=""/>
</sisl>
</file>

<file path=customXml/itemProps1.xml><?xml version="1.0" encoding="utf-8"?>
<ds:datastoreItem xmlns:ds="http://schemas.openxmlformats.org/officeDocument/2006/customXml" ds:itemID="{5F102D24-F85C-408C-8E6A-EC89DF1626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Anh Nguyen Ngoc (Khoi CNNH So)</dc:creator>
  <cp:keywords/>
  <dc:description/>
  <cp:lastModifiedBy>Yen Hoang</cp:lastModifiedBy>
  <cp:revision/>
  <dcterms:created xsi:type="dcterms:W3CDTF">2022-05-10T10:06:50Z</dcterms:created>
  <dcterms:modified xsi:type="dcterms:W3CDTF">2026-09-16T03:39:09Z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854702b6-17df-4d07-bef6-7183a8dbe659</vt:lpwstr>
  </property>
  <property fmtid="{D5CDD505-2E9C-101B-9397-08002B2CF9AE}" pid="3" name="bjSaver">
    <vt:lpwstr>nCgEMty2SHrNoSa12Hk53EaB49UMFzw5</vt:lpwstr>
  </property>
  <property fmtid="{D5CDD505-2E9C-101B-9397-08002B2CF9AE}" pid="4" name="bjClsUserRVM">
    <vt:lpwstr>[]</vt:lpwstr>
  </property>
  <property fmtid="{D5CDD505-2E9C-101B-9397-08002B2CF9AE}" pid="5" name="bjDocumentLabelXML">
    <vt:lpwstr>&lt;?xml version="1.0" encoding="us-ascii"?&gt;&lt;sisl xmlns:xsd="http://www.w3.org/2001/XMLSchema" xmlns:xsi="http://www.w3.org/2001/XMLSchema-instance" sislVersion="0" policy="ee7d2db8-e84f-4c9c-a400-da572860bdfa" origin="userSelected" xmlns="http://www.boldonj</vt:lpwstr>
  </property>
  <property fmtid="{D5CDD505-2E9C-101B-9397-08002B2CF9AE}" pid="6" name="bjDocumentLabelXML-0">
    <vt:lpwstr>ames.com/2008/01/sie/internal/label"&gt;&lt;element uid="id_classification_internalonly" value="" /&gt;&lt;element uid="b08b8ee4-b257-4e42-b442-def8fbf438ad" value="" /&gt;&lt;/sisl&gt;</vt:lpwstr>
  </property>
  <property fmtid="{D5CDD505-2E9C-101B-9397-08002B2CF9AE}" pid="7" name="bjDocumentSecurityLabel">
    <vt:lpwstr>Internal</vt:lpwstr>
  </property>
</Properties>
</file>