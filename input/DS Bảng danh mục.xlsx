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3723e32b4cb6fe7e/Desktop/NV_SB/"/>
    </mc:Choice>
  </mc:AlternateContent>
  <xr:revisionPtr revIDLastSave="0" documentId="8_{7B530F3A-7B20-409D-A1A6-95CAC7A47FCD}" xr6:coauthVersionLast="47" xr6:coauthVersionMax="47" xr10:uidLastSave="{00000000-0000-0000-0000-000000000000}"/>
  <bookViews>
    <workbookView xWindow="-110" yWindow="-110" windowWidth="19420" windowHeight="11500" firstSheet="12" activeTab="12" xr2:uid="{38BC6DE0-9CF2-4210-ADC9-0A77CEACB83C}"/>
  </bookViews>
  <sheets>
    <sheet name="List" sheetId="1" r:id="rId1"/>
    <sheet name="NG_SB_CLOS_MAS_PRO_LINE" sheetId="2" r:id="rId2"/>
    <sheet name="NG_SB_CLOS_MAS_SUB_PROD" sheetId="3" r:id="rId3"/>
    <sheet name="NG_SB_RLOS_MAS_PRODUCT_LINE" sheetId="14" r:id="rId4"/>
    <sheet name="NG_SB_RLOS_MAS_SUB_PRODUCT" sheetId="5" r:id="rId5"/>
    <sheet name="NG_SB_CLOS_MAS_DECISION" sheetId="6" r:id="rId6"/>
    <sheet name="NG_SB_RLOS_MAS_DECISION" sheetId="7" r:id="rId7"/>
    <sheet name="NG_SB_RLOS_MAS_USER" sheetId="8" r:id="rId8"/>
    <sheet name="NG_SB_CLOS_MAS_APPROV_LEVEL" sheetId="9" r:id="rId9"/>
    <sheet name="NG_SB_RLOS_DYN_APPROVAL" sheetId="10" r:id="rId10"/>
    <sheet name="NG_SB_RLOS_MAS_BRANCH" sheetId="11" r:id="rId11"/>
    <sheet name="NG_SB_RLOS_MAS_COMPANY" sheetId="12" r:id="rId12"/>
    <sheet name="NG_SB_RLOS_MAS_REGION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A1" i="8"/>
  <c r="A1" i="9"/>
  <c r="A1" i="10"/>
  <c r="A1" i="11"/>
  <c r="A1" i="12"/>
  <c r="A1" i="13"/>
  <c r="A1" i="7"/>
  <c r="A1" i="6"/>
  <c r="A1" i="5"/>
  <c r="B3" i="1"/>
  <c r="B5" i="1"/>
  <c r="A1" i="14"/>
  <c r="A1" i="3"/>
  <c r="A1" i="2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<sst xmlns="http://schemas.openxmlformats.org/spreadsheetml/2006/main" count="396" uniqueCount="148">
  <si>
    <t>Danh sách bảng</t>
  </si>
  <si>
    <t>Link</t>
  </si>
  <si>
    <t>Nguồn</t>
  </si>
  <si>
    <t>NG_SB_CLOS_MAS_PRO_LINE</t>
  </si>
  <si>
    <t>CLOS</t>
  </si>
  <si>
    <t>NG_SB_CLOS_MAS_SUB_PROD</t>
  </si>
  <si>
    <t>NG_SB_RLOS_MAS_PRODUCT_LINE</t>
  </si>
  <si>
    <t>RLOS</t>
  </si>
  <si>
    <t>NG_SB_RLOS_MAS_SUB_PRODUCT</t>
  </si>
  <si>
    <t>NG_SB_CLOS_MAS_DECISION</t>
  </si>
  <si>
    <t>NG_SB_RLOS_MAS_DECISION</t>
  </si>
  <si>
    <t>NG_SB_RLOS_MAS_USER</t>
  </si>
  <si>
    <t>Dùng chung</t>
  </si>
  <si>
    <t>NG_SB_CLOS_MAS_APPROV_LEVEL</t>
  </si>
  <si>
    <t>NG_SB_RLOS_DYN_APPROVAL</t>
  </si>
  <si>
    <t>NG_SB_RLOS_MAS_BRANCH</t>
  </si>
  <si>
    <t>NG_SB_RLOS_MAS_COMPANY</t>
  </si>
  <si>
    <t>NG_SB_RLOS_MAS_REGION</t>
  </si>
  <si>
    <t>Table Name</t>
  </si>
  <si>
    <t>Column Name</t>
  </si>
  <si>
    <t>Data Type</t>
  </si>
  <si>
    <t>Ý nghĩa nghiệp vụ</t>
  </si>
  <si>
    <t>Note</t>
  </si>
  <si>
    <t>SNO</t>
  </si>
  <si>
    <t>NUMBER</t>
  </si>
  <si>
    <t>PRODUCT_LINE_CODE</t>
  </si>
  <si>
    <t>VARCHAR2(200)</t>
  </si>
  <si>
    <t>Dòng sản phẩm</t>
  </si>
  <si>
    <t>PRODUCT_LINE (BC)</t>
  </si>
  <si>
    <t>PRODUCT_LINE_NAME</t>
  </si>
  <si>
    <t>NVARCHAR2(200)</t>
  </si>
  <si>
    <t>Tên dòng sản phẩm</t>
  </si>
  <si>
    <t>NG_SB_CLOS_MAS_SUB_PRODUCT</t>
  </si>
  <si>
    <t>PRODUCTLINE_CODE</t>
  </si>
  <si>
    <t>SUB_PROD_CODE</t>
  </si>
  <si>
    <t>Mã sản phẩm nhánh</t>
  </si>
  <si>
    <t>SUB_PROD_NAME</t>
  </si>
  <si>
    <t>Tên sản phẩm nhánh</t>
  </si>
  <si>
    <t>SUB_PRODUCT (BC)</t>
  </si>
  <si>
    <t>NO</t>
  </si>
  <si>
    <t>SECONDARY_PRODUCT</t>
  </si>
  <si>
    <t>Sản phẩm phụ thứ 2</t>
  </si>
  <si>
    <t>Tên sản phẩm</t>
  </si>
  <si>
    <t>PRODUCT_CODE</t>
  </si>
  <si>
    <t>PRODUCT_NAME</t>
  </si>
  <si>
    <t>SUB_PRODUCT_CODE</t>
  </si>
  <si>
    <t>SUB_PRODUCT_NAME</t>
  </si>
  <si>
    <t>SCORE_REQUIRED</t>
  </si>
  <si>
    <t>Flag</t>
  </si>
  <si>
    <t>SCORE_MODEL</t>
  </si>
  <si>
    <t>Mô hình</t>
  </si>
  <si>
    <t>QUEUE_NAME</t>
  </si>
  <si>
    <t>Bước xử lý</t>
  </si>
  <si>
    <t>WORKSTEP</t>
  </si>
  <si>
    <t>DECISION</t>
  </si>
  <si>
    <t>Quyết định</t>
  </si>
  <si>
    <t>CHANNEL</t>
  </si>
  <si>
    <t>Kênh</t>
  </si>
  <si>
    <t>REQ_TYPE</t>
  </si>
  <si>
    <t>Loại yêu cầu thay đổi</t>
  </si>
  <si>
    <t>STT</t>
  </si>
  <si>
    <t>EMPLOYEE_NAME</t>
  </si>
  <si>
    <t>Tên nhân viên</t>
  </si>
  <si>
    <t>EMPLOYEE_STATUS</t>
  </si>
  <si>
    <t>Trạng thái</t>
  </si>
  <si>
    <t>EMAIL</t>
  </si>
  <si>
    <t>Email</t>
  </si>
  <si>
    <t>LOGIN_ID</t>
  </si>
  <si>
    <t>Username</t>
  </si>
  <si>
    <t>Username (BC)</t>
  </si>
  <si>
    <t>IP_PHONE</t>
  </si>
  <si>
    <t>Số máy</t>
  </si>
  <si>
    <t>SB_CODE</t>
  </si>
  <si>
    <t>Mã SB</t>
  </si>
  <si>
    <t>ID_CUSTOMER</t>
  </si>
  <si>
    <t>Mã KH</t>
  </si>
  <si>
    <t>UWCHECKER_GROUP</t>
  </si>
  <si>
    <t>COMPANY_CODE</t>
  </si>
  <si>
    <t>Mã CN</t>
  </si>
  <si>
    <t>AP_GROUP</t>
  </si>
  <si>
    <t>COMPANY_NAME</t>
  </si>
  <si>
    <t>Tên CN</t>
  </si>
  <si>
    <t>PREDISB_MAKER_GROUP</t>
  </si>
  <si>
    <t>TITLE</t>
  </si>
  <si>
    <t>Danh xưng</t>
  </si>
  <si>
    <t>PREDISB_GROUP</t>
  </si>
  <si>
    <t>DEPARTMENT_CODE</t>
  </si>
  <si>
    <t>Mã phòng ban</t>
  </si>
  <si>
    <t>DISB_MAKER_GROUP</t>
  </si>
  <si>
    <t>DEPARTMENT_NAME</t>
  </si>
  <si>
    <t>Tên phòng ban</t>
  </si>
  <si>
    <t>DISB_CHECKER_GROUP</t>
  </si>
  <si>
    <t>UWMAKER_GROUP</t>
  </si>
  <si>
    <t>Nhóm thẩm định</t>
  </si>
  <si>
    <t>HUB</t>
  </si>
  <si>
    <t>Nhóm kiểm soát thẩm định</t>
  </si>
  <si>
    <t>BRANCH_MANAGER_EMAIL</t>
  </si>
  <si>
    <t>Nhóm phê duyệt</t>
  </si>
  <si>
    <t>Nhóm soạn thảo hồ sơ XLTD</t>
  </si>
  <si>
    <t>Nhóm kiểm soát soạn thảo hồ sơ XLTD</t>
  </si>
  <si>
    <t>Nhóm giải ngân</t>
  </si>
  <si>
    <t>Nhóm kiểm soát giải ngân</t>
  </si>
  <si>
    <t>Đơn vị/cụm xử lý</t>
  </si>
  <si>
    <t>Email giám đốc chi nhánh</t>
  </si>
  <si>
    <t>LEVEL_CODE</t>
  </si>
  <si>
    <t>Mã cấp phê duyệt</t>
  </si>
  <si>
    <t>APP_GRP (BC)</t>
  </si>
  <si>
    <t>LEVEL_NAME</t>
  </si>
  <si>
    <t>Tên cấp phê duyệt</t>
  </si>
  <si>
    <t>DESCRIPTION</t>
  </si>
  <si>
    <t>Mô tả</t>
  </si>
  <si>
    <t>LEVELDESC</t>
  </si>
  <si>
    <t>Cấp phê duyệt</t>
  </si>
  <si>
    <t>LEVELCODE</t>
  </si>
  <si>
    <t>LEVELNAME</t>
  </si>
  <si>
    <t>BRANCH_ID</t>
  </si>
  <si>
    <t>BRANCH_NAME</t>
  </si>
  <si>
    <t>TRANSACTION_OFF_ID</t>
  </si>
  <si>
    <t>Mã PGD</t>
  </si>
  <si>
    <t>TRANS_OFF_NAME</t>
  </si>
  <si>
    <t>Tên PGD</t>
  </si>
  <si>
    <t>REGION</t>
  </si>
  <si>
    <t>Mã khu vực</t>
  </si>
  <si>
    <t>CITY</t>
  </si>
  <si>
    <t>Mã tỉnh/ thành phố</t>
  </si>
  <si>
    <t>DISTRICT</t>
  </si>
  <si>
    <t>Mã quận/huyện</t>
  </si>
  <si>
    <t>BRANCH_NAME_VN</t>
  </si>
  <si>
    <t>Tên CN tiếng Việt</t>
  </si>
  <si>
    <t>COMPANY_ADDRESS</t>
  </si>
  <si>
    <t>Địa chỉ PGD</t>
  </si>
  <si>
    <t>COMPANY_NAME_VN</t>
  </si>
  <si>
    <t>Tên PGD tiếng Việt</t>
  </si>
  <si>
    <t>COMPANY_ADDRESS_VN</t>
  </si>
  <si>
    <t>Địa chỉ PGD tiếng Việt</t>
  </si>
  <si>
    <t>Mã Chi nhánh</t>
  </si>
  <si>
    <t>ZONE</t>
  </si>
  <si>
    <t>OFFICER_ID</t>
  </si>
  <si>
    <t>DEPT_ACCT_OFFICER</t>
  </si>
  <si>
    <t>COMPANY_EMAIL</t>
  </si>
  <si>
    <t>Email PGD</t>
  </si>
  <si>
    <t>REGION_CODE</t>
  </si>
  <si>
    <t>REGION_NAME</t>
  </si>
  <si>
    <t>Tên khu vực</t>
  </si>
  <si>
    <t>COUNTRY_CODE</t>
  </si>
  <si>
    <t>Mã quốc gia</t>
  </si>
  <si>
    <t>REGION_NAME_VN</t>
  </si>
  <si>
    <t>Tên khu vực tiếng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</si>
</sst>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b/>
      <sz val="11"/>
      <color rgb="FFFFFFFF"/>
      <name val="TIME"/>
    </font>
    <font>
      <sz val="11"/>
      <color theme="1"/>
      <name val="TIME"/>
    </font>
    <font>
      <sz val="12"/>
      <color theme="1"/>
      <name val="TIME"/>
    </font>
    <font>
      <b/>
      <sz val="12"/>
      <color rgb="FFFFFFFF"/>
      <name val="TIME"/>
    </font>
    <font>
      <sz val="11"/>
      <color rgb="FF000000"/>
      <name val="TIME"/>
      <charset val="1"/>
    </font>
    <font>
      <sz val="12"/>
      <color theme="1"/>
      <name val="Times New Roman"/>
    </font>
    <font>
      <u/>
      <sz val="11"/>
      <color rgb="FF1F4E79"/>
      <name val="Aptos Narrow"/>
      <family val="2"/>
      <charset val="163"/>
      <scheme val="minor"/>
    </font>
    <font>
      <b/>
      <u/>
      <sz val="11"/>
      <color rgb="FF1F4E79"/>
      <name val="Aptos Narrow"/>
      <family val="2"/>
      <charset val="163"/>
      <scheme val="minor"/>
    </font>
    <font>
      <sz val="11"/>
      <color rgb="FF1F4E79"/>
      <name val="TIME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1F4E7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2" fillId="2" borderId="2" xfId="0" applyFont="1" applyFill="1" applyBorder="1" applyAlignment="1">
      <alignment wrapText="1"/>
    </xf>
    <xf numFmtId="0" fontId="3" fillId="0" borderId="3" xfId="0" applyFont="1" applyBorder="1"/>
    <xf numFmtId="0" fontId="0" fillId="0" borderId="1" xfId="0" applyBorder="1"/>
    <xf numFmtId="0" fontId="3" fillId="0" borderId="4" xfId="0" applyFont="1" applyBorder="1"/>
    <xf numFmtId="0" fontId="4" fillId="0" borderId="1" xfId="0" applyFont="1" applyBorder="1"/>
    <xf numFmtId="0" fontId="5" fillId="2" borderId="2" xfId="0" applyFont="1" applyFill="1" applyBorder="1" applyAlignment="1">
      <alignment wrapText="1"/>
    </xf>
    <xf numFmtId="0" fontId="2" fillId="2" borderId="2" xfId="0" applyFont="1" applyFill="1" applyBorder="1" applyAlignment="1"/>
    <xf numFmtId="0" fontId="3" fillId="0" borderId="1" xfId="0" applyFont="1" applyBorder="1" applyAlignment="1"/>
    <xf numFmtId="0" fontId="3" fillId="0" borderId="4" xfId="0" applyFont="1" applyBorder="1" applyAlignment="1"/>
    <xf numFmtId="0" fontId="2" fillId="2" borderId="2" xfId="0" applyFont="1" applyFill="1" applyBorder="1"/>
    <xf numFmtId="0" fontId="6" fillId="0" borderId="1" xfId="0" applyFont="1" applyBorder="1"/>
    <xf numFmtId="0" fontId="3" fillId="0" borderId="5" xfId="0" applyFont="1" applyBorder="1"/>
    <xf numFmtId="0" fontId="4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4" xfId="0" applyFont="1" applyBorder="1"/>
    <xf numFmtId="0" fontId="3" fillId="0" borderId="8" xfId="0" applyFont="1" applyBorder="1"/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2" fillId="3" borderId="2" xfId="0" applyFont="1" applyFill="1" applyBorder="1" applyAlignment="1">
      <alignment wrapText="1"/>
    </xf>
    <xf numFmtId="0" fontId="7" fillId="0" borderId="9" xfId="0" applyFont="1" applyBorder="1"/>
    <xf numFmtId="0" fontId="3" fillId="0" borderId="0" xfId="0" applyFont="1" applyBorder="1"/>
    <xf numFmtId="0" fontId="0" fillId="0" borderId="4" xfId="0" applyBorder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4" fillId="0" borderId="8" xfId="0" applyFont="1" applyBorder="1"/>
    <xf numFmtId="0" fontId="0" fillId="0" borderId="0" xfId="0" applyBorder="1"/>
    <xf numFmtId="0" fontId="9" fillId="0" borderId="0" xfId="1" applyFont="1"/>
    <xf numFmtId="0" fontId="10" fillId="0" borderId="0" xfId="0" applyFont="1"/>
    <xf numFmtId="0" fontId="6" fillId="0" borderId="3" xfId="0" applyFont="1" applyBorder="1"/>
    <xf numFmtId="0" fontId="0" fillId="0" borderId="6" xfId="0" applyBorder="1"/>
    <xf numFmtId="0" fontId="4" fillId="0" borderId="10" xfId="0" applyFont="1" applyBorder="1"/>
    <xf numFmtId="0" fontId="4" fillId="0" borderId="11" xfId="0" applyFont="1" applyBorder="1"/>
    <xf numFmtId="0" fontId="8" fillId="0" borderId="9" xfId="1" applyFont="1" applyBorder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8</xdr:row>
      <xdr:rowOff>38100</xdr:rowOff>
    </xdr:from>
    <xdr:to>
      <xdr:col>2</xdr:col>
      <xdr:colOff>1333500</xdr:colOff>
      <xdr:row>18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1E489-B67E-6FA3-0BDD-22A49E033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238375"/>
          <a:ext cx="4572000" cy="1914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13</xdr:row>
      <xdr:rowOff>9525</xdr:rowOff>
    </xdr:from>
    <xdr:to>
      <xdr:col>4</xdr:col>
      <xdr:colOff>1438275</xdr:colOff>
      <xdr:row>42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317A44-6437-2A03-4D75-FE8B933D1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362200"/>
          <a:ext cx="8524875" cy="5553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11</xdr:row>
      <xdr:rowOff>161925</xdr:rowOff>
    </xdr:from>
    <xdr:to>
      <xdr:col>2</xdr:col>
      <xdr:colOff>1162050</xdr:colOff>
      <xdr:row>37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31BB0-4F2E-9535-263B-BA06A0D35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181225"/>
          <a:ext cx="4410075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13</xdr:row>
      <xdr:rowOff>38100</xdr:rowOff>
    </xdr:from>
    <xdr:to>
      <xdr:col>10</xdr:col>
      <xdr:colOff>514350</xdr:colOff>
      <xdr:row>37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B1BEB-5359-2CFD-7541-43416C4C2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390775"/>
          <a:ext cx="9191625" cy="434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9</xdr:row>
      <xdr:rowOff>114300</xdr:rowOff>
    </xdr:from>
    <xdr:to>
      <xdr:col>6</xdr:col>
      <xdr:colOff>590550</xdr:colOff>
      <xdr:row>39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31CB4-4B84-FD43-FAE3-4B27E4844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2400300"/>
          <a:ext cx="6438900" cy="5772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8</xdr:row>
      <xdr:rowOff>9525</xdr:rowOff>
    </xdr:from>
    <xdr:to>
      <xdr:col>9</xdr:col>
      <xdr:colOff>161925</xdr:colOff>
      <xdr:row>42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90EAF8-A95B-0D08-983B-60EF36748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600200"/>
          <a:ext cx="6000750" cy="6629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1066800</xdr:colOff>
      <xdr:row>26</xdr:row>
      <xdr:rowOff>57150</xdr:rowOff>
    </xdr:from>
    <xdr:to>
      <xdr:col>14</xdr:col>
      <xdr:colOff>495300</xdr:colOff>
      <xdr:row>59</xdr:row>
      <xdr:rowOff>9525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EA58B5C-384C-6045-6785-A1A07264B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5010150"/>
          <a:ext cx="11944350" cy="6238875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18</xdr:row>
      <xdr:rowOff>85725</xdr:rowOff>
    </xdr:from>
    <xdr:to>
      <xdr:col>36</xdr:col>
      <xdr:colOff>495300</xdr:colOff>
      <xdr:row>43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B6E9B0-568C-ADE4-6494-9EFD8EEDD9D3}"/>
            </a:ext>
            <a:ext uri="{147F2762-F138-4A5C-976F-8EAC2B608ADB}">
              <a16:predDERef xmlns:a16="http://schemas.microsoft.com/office/drawing/2014/main" pred="{0EA58B5C-384C-6045-6785-A1A07264B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0" y="3514725"/>
          <a:ext cx="10553700" cy="4829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0</xdr:rowOff>
    </xdr:from>
    <xdr:to>
      <xdr:col>13</xdr:col>
      <xdr:colOff>142875</xdr:colOff>
      <xdr:row>35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426BB-CC76-06E1-189E-470698D32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3619500"/>
          <a:ext cx="5924550" cy="31718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990600</xdr:colOff>
      <xdr:row>13</xdr:row>
      <xdr:rowOff>47625</xdr:rowOff>
    </xdr:from>
    <xdr:to>
      <xdr:col>7</xdr:col>
      <xdr:colOff>9525</xdr:colOff>
      <xdr:row>33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8DF32-DA25-AF12-2E9C-C9F489AC7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2524125"/>
          <a:ext cx="6724650" cy="37814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16</xdr:col>
      <xdr:colOff>285750</xdr:colOff>
      <xdr:row>43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7AE0E-9C19-ABE2-33BA-4A4EE6C1C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667000"/>
          <a:ext cx="10496550" cy="55721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14</xdr:row>
      <xdr:rowOff>38100</xdr:rowOff>
    </xdr:from>
    <xdr:to>
      <xdr:col>14</xdr:col>
      <xdr:colOff>447675</xdr:colOff>
      <xdr:row>34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C80DB-BF61-7678-3074-0AF27982B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2705100"/>
          <a:ext cx="9229725" cy="37719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13</xdr:row>
      <xdr:rowOff>47625</xdr:rowOff>
    </xdr:from>
    <xdr:to>
      <xdr:col>9</xdr:col>
      <xdr:colOff>409575</xdr:colOff>
      <xdr:row>26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45964-FED9-410D-76CB-673BAAB0E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2581275"/>
          <a:ext cx="6467475" cy="246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370F-CE2B-46C1-9DDE-D7FD3F256FAC}">
  <dimension ref="A1:C13"/>
  <sheetViews>
    <sheetView workbookViewId="0">
      <selection activeCell="B21" sqref="B21"/>
    </sheetView>
  </sheetViews>
  <sheetFormatPr defaultRowHeight="14.45"/>
  <cols>
    <col min="1" max="1" width="40.85546875" bestFit="1" customWidth="1"/>
    <col min="2" max="2" width="35" bestFit="1" customWidth="1"/>
    <col min="3" max="3" width="12.42578125" bestFit="1" customWidth="1"/>
  </cols>
  <sheetData>
    <row r="1" spans="1:3" ht="22.5" customHeight="1">
      <c r="A1" s="9" t="s">
        <v>0</v>
      </c>
      <c r="B1" s="9" t="s">
        <v>1</v>
      </c>
      <c r="C1" s="9" t="s">
        <v>2</v>
      </c>
    </row>
    <row r="2" spans="1:3" ht="15.75">
      <c r="A2" s="24" t="s">
        <v>3</v>
      </c>
      <c r="B2" s="39" t="str">
        <f>HYPERLINK("#'"&amp;A2&amp;"'!A1",A2)</f>
        <v>NG_SB_CLOS_MAS_PRO_LINE</v>
      </c>
      <c r="C2" s="24" t="s">
        <v>4</v>
      </c>
    </row>
    <row r="3" spans="1:3" ht="15.75">
      <c r="A3" s="22" t="s">
        <v>5</v>
      </c>
      <c r="B3" s="39" t="str">
        <f>HYPERLINK("#'"&amp;A3&amp;"'!A1",A3)</f>
        <v>NG_SB_CLOS_MAS_SUB_PROD</v>
      </c>
      <c r="C3" s="21" t="s">
        <v>4</v>
      </c>
    </row>
    <row r="4" spans="1:3" ht="15.75">
      <c r="A4" s="22" t="s">
        <v>6</v>
      </c>
      <c r="B4" s="39" t="str">
        <f>HYPERLINK("#'"&amp;A4&amp;"'!A1",A4)</f>
        <v>NG_SB_RLOS_MAS_PRODUCT_LINE</v>
      </c>
      <c r="C4" s="21" t="s">
        <v>7</v>
      </c>
    </row>
    <row r="5" spans="1:3" ht="15.75">
      <c r="A5" s="22" t="s">
        <v>8</v>
      </c>
      <c r="B5" s="39" t="str">
        <f>HYPERLINK("#'"&amp;A5&amp;"'!A1",A5)</f>
        <v>NG_SB_RLOS_MAS_SUB_PRODUCT</v>
      </c>
      <c r="C5" s="21" t="s">
        <v>7</v>
      </c>
    </row>
    <row r="6" spans="1:3" ht="15.75">
      <c r="A6" s="22" t="s">
        <v>9</v>
      </c>
      <c r="B6" s="39" t="str">
        <f>HYPERLINK("#'"&amp;A6&amp;"'!A1",A6)</f>
        <v>NG_SB_CLOS_MAS_DECISION</v>
      </c>
      <c r="C6" s="21" t="s">
        <v>4</v>
      </c>
    </row>
    <row r="7" spans="1:3" ht="15.75">
      <c r="A7" s="22" t="s">
        <v>10</v>
      </c>
      <c r="B7" s="39" t="str">
        <f>HYPERLINK("#'"&amp;A7&amp;"'!A1",A7)</f>
        <v>NG_SB_RLOS_MAS_DECISION</v>
      </c>
      <c r="C7" s="21" t="s">
        <v>7</v>
      </c>
    </row>
    <row r="8" spans="1:3" ht="15.75">
      <c r="A8" s="22" t="s">
        <v>11</v>
      </c>
      <c r="B8" s="39" t="str">
        <f>HYPERLINK("#'"&amp;A8&amp;"'!A1",A8)</f>
        <v>NG_SB_RLOS_MAS_USER</v>
      </c>
      <c r="C8" s="21" t="s">
        <v>12</v>
      </c>
    </row>
    <row r="9" spans="1:3" ht="15.75">
      <c r="A9" s="22" t="s">
        <v>13</v>
      </c>
      <c r="B9" s="39" t="str">
        <f>HYPERLINK("#'"&amp;A9&amp;"'!A1",A9)</f>
        <v>NG_SB_CLOS_MAS_APPROV_LEVEL</v>
      </c>
      <c r="C9" s="21" t="s">
        <v>4</v>
      </c>
    </row>
    <row r="10" spans="1:3" ht="15.75">
      <c r="A10" s="22" t="s">
        <v>14</v>
      </c>
      <c r="B10" s="39" t="str">
        <f>HYPERLINK("#'"&amp;A10&amp;"'!A1",A10)</f>
        <v>NG_SB_RLOS_DYN_APPROVAL</v>
      </c>
      <c r="C10" s="21" t="s">
        <v>7</v>
      </c>
    </row>
    <row r="11" spans="1:3" ht="15.75">
      <c r="A11" s="22" t="s">
        <v>15</v>
      </c>
      <c r="B11" s="39" t="str">
        <f>HYPERLINK("#'"&amp;A11&amp;"'!A1",A11)</f>
        <v>NG_SB_RLOS_MAS_BRANCH</v>
      </c>
      <c r="C11" s="21" t="s">
        <v>12</v>
      </c>
    </row>
    <row r="12" spans="1:3" ht="15.75">
      <c r="A12" s="22" t="s">
        <v>16</v>
      </c>
      <c r="B12" s="39" t="str">
        <f>HYPERLINK("#'"&amp;A12&amp;"'!A1",A12)</f>
        <v>NG_SB_RLOS_MAS_COMPANY</v>
      </c>
      <c r="C12" s="21" t="s">
        <v>12</v>
      </c>
    </row>
    <row r="13" spans="1:3" ht="15.75">
      <c r="A13" s="22" t="s">
        <v>17</v>
      </c>
      <c r="B13" s="39" t="str">
        <f>HYPERLINK("#'"&amp;A13&amp;"'!A1",A13)</f>
        <v>NG_SB_RLOS_MAS_REGION</v>
      </c>
      <c r="C13" s="2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1384-8F60-4FDB-A9A0-8BB2AD9131C5}">
  <dimension ref="A1:E6"/>
  <sheetViews>
    <sheetView workbookViewId="0">
      <selection activeCell="D19" sqref="D19"/>
    </sheetView>
  </sheetViews>
  <sheetFormatPr defaultRowHeight="14.25"/>
  <cols>
    <col min="1" max="1" width="29.42578125" style="1" bestFit="1" customWidth="1"/>
    <col min="2" max="2" width="23" style="1" bestFit="1" customWidth="1"/>
    <col min="3" max="3" width="22.7109375" style="1" customWidth="1"/>
    <col min="4" max="4" width="19.5703125" style="1" bestFit="1" customWidth="1"/>
    <col min="5" max="5" width="32.85546875" style="1" customWidth="1"/>
    <col min="6" max="16384" width="9.140625" style="1"/>
  </cols>
  <sheetData>
    <row r="1" spans="1:5" ht="15">
      <c r="A1" s="33" t="str">
        <f>HYPERLINK("#'List'!A2","NG_SB_CLOS_MAS_PRO_LINE")</f>
        <v>NG_SB_CLOS_MAS_PRO_LINE</v>
      </c>
    </row>
    <row r="3" spans="1:5" ht="16.5">
      <c r="A3" s="4" t="s">
        <v>18</v>
      </c>
      <c r="B3" s="4" t="s">
        <v>19</v>
      </c>
      <c r="C3" s="23" t="s">
        <v>20</v>
      </c>
      <c r="D3" s="4" t="s">
        <v>21</v>
      </c>
      <c r="E3" s="4" t="s">
        <v>22</v>
      </c>
    </row>
    <row r="4" spans="1:5">
      <c r="A4" s="3" t="s">
        <v>3</v>
      </c>
      <c r="B4" s="3" t="s">
        <v>23</v>
      </c>
      <c r="C4" s="3" t="s">
        <v>24</v>
      </c>
      <c r="D4" s="5"/>
      <c r="E4" s="3"/>
    </row>
    <row r="5" spans="1:5">
      <c r="A5" s="3" t="s">
        <v>3</v>
      </c>
      <c r="B5" s="3" t="s">
        <v>25</v>
      </c>
      <c r="C5" s="3" t="s">
        <v>26</v>
      </c>
      <c r="D5" s="5" t="s">
        <v>27</v>
      </c>
      <c r="E5" s="3" t="s">
        <v>28</v>
      </c>
    </row>
    <row r="6" spans="1:5">
      <c r="A6" s="3" t="s">
        <v>3</v>
      </c>
      <c r="B6" s="3" t="s">
        <v>29</v>
      </c>
      <c r="C6" s="3" t="s">
        <v>30</v>
      </c>
      <c r="D6" s="5" t="s">
        <v>31</v>
      </c>
      <c r="E6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8C9D-B1DA-40B0-B46B-D2F141046072}">
  <dimension ref="A1:E6"/>
  <sheetViews>
    <sheetView workbookViewId="0">
      <selection activeCell="C10" sqref="C10"/>
    </sheetView>
  </sheetViews>
  <sheetFormatPr defaultColWidth="9.140625" defaultRowHeight="15" customHeight="1"/>
  <cols>
    <col min="1" max="1" width="37" style="2" bestFit="1" customWidth="1"/>
    <col min="2" max="2" width="23.28515625" style="2" bestFit="1" customWidth="1"/>
    <col min="3" max="3" width="21" style="2" customWidth="1"/>
    <col min="4" max="4" width="30.140625" style="2" customWidth="1"/>
    <col min="5" max="5" width="32.5703125" style="2" customWidth="1"/>
    <col min="6" max="16384" width="9.140625" style="2"/>
  </cols>
  <sheetData>
    <row r="1" spans="1:5" ht="15.75">
      <c r="A1" s="33" t="str">
        <f>HYPERLINK("#'List'!A3","NG_SB_CLOS_MAS_SUB_PROD")</f>
        <v>NG_SB_CLOS_MAS_SUB_PROD</v>
      </c>
    </row>
    <row r="2" spans="1:5" ht="21" customHeight="1"/>
    <row r="3" spans="1:5" ht="20.25" customHeight="1">
      <c r="A3" s="9" t="s">
        <v>18</v>
      </c>
      <c r="B3" s="9" t="s">
        <v>19</v>
      </c>
      <c r="C3" s="9" t="s">
        <v>20</v>
      </c>
      <c r="D3" s="9" t="s">
        <v>21</v>
      </c>
      <c r="E3" s="4" t="s">
        <v>22</v>
      </c>
    </row>
    <row r="4" spans="1:5">
      <c r="A4" s="8" t="s">
        <v>32</v>
      </c>
      <c r="B4" s="8" t="s">
        <v>33</v>
      </c>
      <c r="C4" s="3" t="s">
        <v>26</v>
      </c>
      <c r="D4" s="8" t="s">
        <v>27</v>
      </c>
      <c r="E4" s="3" t="s">
        <v>28</v>
      </c>
    </row>
    <row r="5" spans="1:5">
      <c r="A5" s="8" t="s">
        <v>32</v>
      </c>
      <c r="B5" s="8" t="s">
        <v>34</v>
      </c>
      <c r="C5" s="3" t="s">
        <v>26</v>
      </c>
      <c r="D5" s="8" t="s">
        <v>35</v>
      </c>
      <c r="E5" s="3"/>
    </row>
    <row r="6" spans="1:5">
      <c r="A6" s="8" t="s">
        <v>32</v>
      </c>
      <c r="B6" s="8" t="s">
        <v>36</v>
      </c>
      <c r="C6" s="3" t="s">
        <v>30</v>
      </c>
      <c r="D6" s="8" t="s">
        <v>37</v>
      </c>
      <c r="E6" s="3" t="s">
        <v>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FC69-D1C6-4B9A-915B-37E9C119DE52}">
  <dimension ref="A1:E21"/>
  <sheetViews>
    <sheetView topLeftCell="Q1" workbookViewId="0">
      <selection activeCell="D17" sqref="D17"/>
    </sheetView>
  </sheetViews>
  <sheetFormatPr defaultRowHeight="14.25"/>
  <cols>
    <col min="1" max="1" width="35" style="1" bestFit="1" customWidth="1"/>
    <col min="2" max="2" width="23" style="1" bestFit="1" customWidth="1"/>
    <col min="3" max="3" width="25.5703125" style="1" customWidth="1"/>
    <col min="4" max="4" width="26" style="1" customWidth="1"/>
    <col min="5" max="5" width="22.140625" style="1" customWidth="1"/>
    <col min="6" max="16383" width="9.140625" style="1"/>
    <col min="16384" max="16384" width="9.140625" style="1" bestFit="1" customWidth="1"/>
  </cols>
  <sheetData>
    <row r="1" spans="1:5" ht="15">
      <c r="A1" s="33" t="str">
        <f>HYPERLINK("#'List'!A4","NG_SB_RLOS_MAS_PRODUCT_LINE")</f>
        <v>NG_SB_RLOS_MAS_PRODUCT_LINE</v>
      </c>
    </row>
    <row r="3" spans="1:5" ht="16.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>
      <c r="A4" s="3" t="s">
        <v>6</v>
      </c>
      <c r="B4" s="3" t="s">
        <v>39</v>
      </c>
      <c r="C4" s="3" t="s">
        <v>24</v>
      </c>
      <c r="D4" s="5"/>
      <c r="E4" s="3"/>
    </row>
    <row r="5" spans="1:5">
      <c r="A5" s="3" t="s">
        <v>6</v>
      </c>
      <c r="B5" s="3" t="s">
        <v>40</v>
      </c>
      <c r="C5" s="3" t="s">
        <v>26</v>
      </c>
      <c r="D5" s="5" t="s">
        <v>41</v>
      </c>
      <c r="E5" s="3"/>
    </row>
    <row r="6" spans="1:5">
      <c r="A6" s="3" t="s">
        <v>6</v>
      </c>
      <c r="B6" s="3" t="s">
        <v>33</v>
      </c>
      <c r="C6" s="3" t="s">
        <v>26</v>
      </c>
      <c r="D6" s="5" t="s">
        <v>27</v>
      </c>
      <c r="E6" s="3" t="s">
        <v>28</v>
      </c>
    </row>
    <row r="7" spans="1:5">
      <c r="A7" s="3" t="s">
        <v>6</v>
      </c>
      <c r="B7" s="3" t="s">
        <v>29</v>
      </c>
      <c r="C7" s="3" t="s">
        <v>26</v>
      </c>
      <c r="D7" s="5" t="s">
        <v>42</v>
      </c>
      <c r="E7" s="3"/>
    </row>
    <row r="21" spans="4:4">
      <c r="D21" s="3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C4E6-B43A-45FA-A95E-79E53B8DB8F4}">
  <dimension ref="A1:E9"/>
  <sheetViews>
    <sheetView workbookViewId="0">
      <selection activeCell="I11" sqref="I11"/>
    </sheetView>
  </sheetViews>
  <sheetFormatPr defaultRowHeight="14.45"/>
  <cols>
    <col min="1" max="1" width="35" bestFit="1" customWidth="1"/>
    <col min="2" max="2" width="24" bestFit="1" customWidth="1"/>
    <col min="3" max="3" width="18.140625" customWidth="1"/>
    <col min="4" max="4" width="21.140625" customWidth="1"/>
    <col min="5" max="5" width="22.7109375" customWidth="1"/>
  </cols>
  <sheetData>
    <row r="1" spans="1:5" ht="15">
      <c r="A1" s="33" t="str">
        <f>HYPERLINK("#'List'!A5","NG_SB_RLOS_MAS_SUB_PRODUCT")</f>
        <v>NG_SB_RLOS_MAS_SUB_PRODUCT</v>
      </c>
    </row>
    <row r="2" spans="1:5" ht="17.25" customHeight="1"/>
    <row r="3" spans="1:5" ht="18.75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 ht="15">
      <c r="A4" s="3" t="s">
        <v>8</v>
      </c>
      <c r="B4" s="5" t="s">
        <v>43</v>
      </c>
      <c r="C4" s="14" t="s">
        <v>26</v>
      </c>
      <c r="D4" s="17" t="s">
        <v>27</v>
      </c>
      <c r="E4" s="3" t="s">
        <v>28</v>
      </c>
    </row>
    <row r="5" spans="1:5" ht="15">
      <c r="A5" s="3" t="s">
        <v>8</v>
      </c>
      <c r="B5" s="5" t="s">
        <v>44</v>
      </c>
      <c r="C5" s="14" t="s">
        <v>26</v>
      </c>
      <c r="D5" s="17" t="s">
        <v>42</v>
      </c>
      <c r="E5" s="7"/>
    </row>
    <row r="6" spans="1:5" ht="15">
      <c r="A6" s="3" t="s">
        <v>8</v>
      </c>
      <c r="B6" s="5" t="s">
        <v>45</v>
      </c>
      <c r="C6" s="14" t="s">
        <v>26</v>
      </c>
      <c r="D6" s="20" t="s">
        <v>35</v>
      </c>
      <c r="E6" s="6"/>
    </row>
    <row r="7" spans="1:5" ht="15">
      <c r="A7" s="3" t="s">
        <v>8</v>
      </c>
      <c r="B7" s="15" t="s">
        <v>46</v>
      </c>
      <c r="C7" s="14" t="s">
        <v>30</v>
      </c>
      <c r="D7" s="18" t="s">
        <v>37</v>
      </c>
      <c r="E7" s="3" t="s">
        <v>38</v>
      </c>
    </row>
    <row r="8" spans="1:5" ht="15.75">
      <c r="A8" s="5" t="s">
        <v>8</v>
      </c>
      <c r="B8" s="16" t="s">
        <v>47</v>
      </c>
      <c r="C8" s="14" t="s">
        <v>26</v>
      </c>
      <c r="D8" s="17" t="s">
        <v>48</v>
      </c>
      <c r="E8" s="3"/>
    </row>
    <row r="9" spans="1:5" ht="15.75">
      <c r="A9" s="5" t="s">
        <v>8</v>
      </c>
      <c r="B9" s="16" t="s">
        <v>49</v>
      </c>
      <c r="C9" s="14" t="s">
        <v>26</v>
      </c>
      <c r="D9" s="17" t="s">
        <v>50</v>
      </c>
      <c r="E9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2A3C-0FC6-4CBF-B8EC-8FC04CECAEE9}">
  <dimension ref="A1:E7"/>
  <sheetViews>
    <sheetView workbookViewId="0">
      <selection activeCell="E4" sqref="E4"/>
    </sheetView>
  </sheetViews>
  <sheetFormatPr defaultRowHeight="15"/>
  <cols>
    <col min="1" max="1" width="34.5703125" bestFit="1" customWidth="1"/>
    <col min="2" max="2" width="22.5703125" bestFit="1" customWidth="1"/>
    <col min="3" max="3" width="16.85546875" customWidth="1"/>
    <col min="4" max="4" width="18.85546875" customWidth="1"/>
    <col min="5" max="5" width="25.42578125" customWidth="1"/>
  </cols>
  <sheetData>
    <row r="1" spans="1:5">
      <c r="A1" s="33" t="str">
        <f>HYPERLINK("#'List'!A6","NG_SB_CLOS_MAS_DECISION")</f>
        <v>NG_SB_CLOS_MAS_DECISION</v>
      </c>
    </row>
    <row r="3" spans="1:5" ht="18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>
      <c r="A4" s="3" t="s">
        <v>9</v>
      </c>
      <c r="B4" s="3" t="s">
        <v>51</v>
      </c>
      <c r="C4" s="14" t="s">
        <v>26</v>
      </c>
      <c r="D4" s="3" t="s">
        <v>52</v>
      </c>
      <c r="E4" s="3" t="s">
        <v>53</v>
      </c>
    </row>
    <row r="5" spans="1:5">
      <c r="A5" s="3" t="s">
        <v>9</v>
      </c>
      <c r="B5" s="3" t="s">
        <v>54</v>
      </c>
      <c r="C5" s="14" t="s">
        <v>26</v>
      </c>
      <c r="D5" s="3" t="s">
        <v>55</v>
      </c>
      <c r="E5" s="7" t="s">
        <v>54</v>
      </c>
    </row>
    <row r="6" spans="1:5">
      <c r="A6" s="3" t="s">
        <v>9</v>
      </c>
      <c r="B6" s="3" t="s">
        <v>56</v>
      </c>
      <c r="C6" s="14" t="s">
        <v>26</v>
      </c>
      <c r="D6" s="3" t="s">
        <v>57</v>
      </c>
      <c r="E6" s="6"/>
    </row>
    <row r="7" spans="1:5">
      <c r="E7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0DC2-BD76-4D0F-9038-C00360D42B87}">
  <dimension ref="A1:E6"/>
  <sheetViews>
    <sheetView workbookViewId="0">
      <selection activeCell="C6" sqref="C6"/>
    </sheetView>
  </sheetViews>
  <sheetFormatPr defaultRowHeight="15"/>
  <cols>
    <col min="1" max="1" width="29.7109375" bestFit="1" customWidth="1"/>
    <col min="2" max="2" width="14.7109375" bestFit="1" customWidth="1"/>
    <col min="3" max="3" width="16.85546875" customWidth="1"/>
    <col min="4" max="4" width="19.42578125" customWidth="1"/>
    <col min="5" max="5" width="14" customWidth="1"/>
  </cols>
  <sheetData>
    <row r="1" spans="1:5">
      <c r="A1" s="33" t="str">
        <f>HYPERLINK("#'List'!A7","NG_SB_RLOS_MAS_DECISION")</f>
        <v>NG_SB_RLOS_MAS_DECISION</v>
      </c>
    </row>
    <row r="2" spans="1:5" ht="16.5" customHeight="1"/>
    <row r="3" spans="1:5" ht="18.75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>
      <c r="A4" s="3" t="s">
        <v>10</v>
      </c>
      <c r="B4" s="3" t="s">
        <v>51</v>
      </c>
      <c r="C4" s="14" t="s">
        <v>26</v>
      </c>
      <c r="D4" s="3" t="s">
        <v>52</v>
      </c>
      <c r="E4" s="3" t="s">
        <v>53</v>
      </c>
    </row>
    <row r="5" spans="1:5">
      <c r="A5" s="3" t="s">
        <v>10</v>
      </c>
      <c r="B5" s="3" t="s">
        <v>54</v>
      </c>
      <c r="C5" s="14" t="s">
        <v>26</v>
      </c>
      <c r="D5" s="3" t="s">
        <v>55</v>
      </c>
      <c r="E5" s="7" t="s">
        <v>54</v>
      </c>
    </row>
    <row r="6" spans="1:5">
      <c r="A6" s="3" t="s">
        <v>10</v>
      </c>
      <c r="B6" s="3" t="s">
        <v>58</v>
      </c>
      <c r="C6" s="14" t="s">
        <v>26</v>
      </c>
      <c r="D6" s="3" t="s">
        <v>59</v>
      </c>
      <c r="E6" s="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07EF-AC83-43EC-B093-EA34A39742D9}">
  <dimension ref="A1:Z25"/>
  <sheetViews>
    <sheetView topLeftCell="A8" workbookViewId="0">
      <selection activeCell="D25" sqref="D25"/>
    </sheetView>
  </sheetViews>
  <sheetFormatPr defaultRowHeight="15"/>
  <cols>
    <col min="1" max="1" width="25" bestFit="1" customWidth="1"/>
    <col min="2" max="2" width="29.85546875" bestFit="1" customWidth="1"/>
    <col min="3" max="3" width="20.7109375" customWidth="1"/>
    <col min="4" max="4" width="39.85546875" customWidth="1"/>
    <col min="5" max="5" width="15" customWidth="1"/>
    <col min="26" max="26" width="25.140625" bestFit="1" customWidth="1"/>
  </cols>
  <sheetData>
    <row r="1" spans="1:26">
      <c r="A1" s="33" t="str">
        <f>HYPERLINK("#'List'!A8","NG_SB_RLOS_MAS_USER")</f>
        <v>NG_SB_RLOS_MAS_USER</v>
      </c>
    </row>
    <row r="3" spans="1:26" ht="16.5">
      <c r="A3" s="10" t="s">
        <v>18</v>
      </c>
      <c r="B3" s="10" t="s">
        <v>19</v>
      </c>
      <c r="C3" s="10" t="s">
        <v>20</v>
      </c>
      <c r="D3" s="10" t="s">
        <v>21</v>
      </c>
      <c r="E3" s="4" t="s">
        <v>22</v>
      </c>
    </row>
    <row r="4" spans="1:26">
      <c r="A4" s="11" t="s">
        <v>11</v>
      </c>
      <c r="B4" s="11" t="s">
        <v>60</v>
      </c>
      <c r="C4" s="12" t="s">
        <v>24</v>
      </c>
      <c r="D4" s="27" t="s">
        <v>60</v>
      </c>
      <c r="E4" s="6"/>
    </row>
    <row r="5" spans="1:26">
      <c r="A5" s="11" t="s">
        <v>11</v>
      </c>
      <c r="B5" s="27" t="s">
        <v>61</v>
      </c>
      <c r="C5" s="11" t="s">
        <v>30</v>
      </c>
      <c r="D5" s="29" t="s">
        <v>62</v>
      </c>
      <c r="E5" s="6"/>
    </row>
    <row r="6" spans="1:26">
      <c r="A6" s="11" t="s">
        <v>11</v>
      </c>
      <c r="B6" s="28" t="s">
        <v>63</v>
      </c>
      <c r="C6" s="14" t="s">
        <v>26</v>
      </c>
      <c r="D6" s="30" t="s">
        <v>64</v>
      </c>
      <c r="E6" s="6"/>
    </row>
    <row r="7" spans="1:26" ht="15.75">
      <c r="A7" s="5" t="s">
        <v>11</v>
      </c>
      <c r="B7" s="16" t="s">
        <v>65</v>
      </c>
      <c r="C7" s="14" t="s">
        <v>26</v>
      </c>
      <c r="D7" s="31" t="s">
        <v>66</v>
      </c>
      <c r="E7" s="6"/>
    </row>
    <row r="8" spans="1:26" ht="15.75">
      <c r="A8" s="5" t="s">
        <v>11</v>
      </c>
      <c r="B8" s="16" t="s">
        <v>67</v>
      </c>
      <c r="C8" s="14" t="s">
        <v>26</v>
      </c>
      <c r="D8" s="31" t="s">
        <v>68</v>
      </c>
      <c r="E8" s="6" t="s">
        <v>69</v>
      </c>
    </row>
    <row r="9" spans="1:26" ht="15.75">
      <c r="A9" s="5" t="s">
        <v>11</v>
      </c>
      <c r="B9" s="16" t="s">
        <v>70</v>
      </c>
      <c r="C9" s="14" t="s">
        <v>26</v>
      </c>
      <c r="D9" s="31" t="s">
        <v>71</v>
      </c>
      <c r="E9" s="6"/>
    </row>
    <row r="10" spans="1:26" ht="15.75">
      <c r="A10" s="5" t="s">
        <v>11</v>
      </c>
      <c r="B10" s="16" t="s">
        <v>72</v>
      </c>
      <c r="C10" s="14" t="s">
        <v>26</v>
      </c>
      <c r="D10" s="31" t="s">
        <v>73</v>
      </c>
      <c r="E10" s="6"/>
    </row>
    <row r="11" spans="1:26" ht="15.75">
      <c r="A11" s="5" t="s">
        <v>11</v>
      </c>
      <c r="B11" s="16" t="s">
        <v>74</v>
      </c>
      <c r="C11" s="14" t="s">
        <v>26</v>
      </c>
      <c r="D11" s="31" t="s">
        <v>75</v>
      </c>
      <c r="E11" s="6"/>
      <c r="Z11" t="s">
        <v>76</v>
      </c>
    </row>
    <row r="12" spans="1:26" ht="15.75">
      <c r="A12" s="5" t="s">
        <v>11</v>
      </c>
      <c r="B12" s="16" t="s">
        <v>77</v>
      </c>
      <c r="C12" s="14" t="s">
        <v>26</v>
      </c>
      <c r="D12" s="31" t="s">
        <v>78</v>
      </c>
      <c r="E12" s="6"/>
      <c r="Z12" t="s">
        <v>79</v>
      </c>
    </row>
    <row r="13" spans="1:26" ht="15.75">
      <c r="A13" s="5" t="s">
        <v>11</v>
      </c>
      <c r="B13" s="16" t="s">
        <v>80</v>
      </c>
      <c r="C13" s="14" t="s">
        <v>30</v>
      </c>
      <c r="D13" s="31" t="s">
        <v>81</v>
      </c>
      <c r="E13" s="6"/>
      <c r="Z13" t="s">
        <v>82</v>
      </c>
    </row>
    <row r="14" spans="1:26" ht="15.75">
      <c r="A14" s="5" t="s">
        <v>11</v>
      </c>
      <c r="B14" s="16" t="s">
        <v>83</v>
      </c>
      <c r="C14" s="14" t="s">
        <v>26</v>
      </c>
      <c r="D14" s="31" t="s">
        <v>84</v>
      </c>
      <c r="E14" s="6"/>
      <c r="Z14" t="s">
        <v>85</v>
      </c>
    </row>
    <row r="15" spans="1:26" ht="15.75">
      <c r="A15" s="5" t="s">
        <v>11</v>
      </c>
      <c r="B15" s="16" t="s">
        <v>86</v>
      </c>
      <c r="C15" s="14" t="s">
        <v>26</v>
      </c>
      <c r="D15" s="31" t="s">
        <v>87</v>
      </c>
      <c r="E15" s="6"/>
      <c r="Z15" t="s">
        <v>88</v>
      </c>
    </row>
    <row r="16" spans="1:26" ht="15.75">
      <c r="A16" s="5" t="s">
        <v>11</v>
      </c>
      <c r="B16" s="16" t="s">
        <v>89</v>
      </c>
      <c r="C16" s="14" t="s">
        <v>26</v>
      </c>
      <c r="D16" s="31" t="s">
        <v>90</v>
      </c>
      <c r="E16" s="6"/>
      <c r="Z16" t="s">
        <v>91</v>
      </c>
    </row>
    <row r="17" spans="1:26" ht="15.75">
      <c r="A17" s="5" t="s">
        <v>11</v>
      </c>
      <c r="B17" s="16" t="s">
        <v>92</v>
      </c>
      <c r="C17" s="14" t="s">
        <v>26</v>
      </c>
      <c r="D17" s="37" t="s">
        <v>93</v>
      </c>
      <c r="E17" s="6"/>
      <c r="Z17" t="s">
        <v>94</v>
      </c>
    </row>
    <row r="18" spans="1:26" ht="15.75">
      <c r="A18" s="5" t="s">
        <v>11</v>
      </c>
      <c r="B18" s="16" t="s">
        <v>76</v>
      </c>
      <c r="C18" s="35" t="s">
        <v>26</v>
      </c>
      <c r="D18" s="8" t="s">
        <v>95</v>
      </c>
      <c r="E18" s="36"/>
      <c r="Z18" t="s">
        <v>96</v>
      </c>
    </row>
    <row r="19" spans="1:26" ht="15.75">
      <c r="A19" s="5" t="s">
        <v>11</v>
      </c>
      <c r="B19" s="16" t="s">
        <v>79</v>
      </c>
      <c r="C19" s="14" t="s">
        <v>26</v>
      </c>
      <c r="D19" s="38" t="s">
        <v>97</v>
      </c>
      <c r="E19" s="6"/>
    </row>
    <row r="20" spans="1:26" ht="15.75">
      <c r="A20" s="5" t="s">
        <v>11</v>
      </c>
      <c r="B20" s="16" t="s">
        <v>82</v>
      </c>
      <c r="C20" s="14" t="s">
        <v>26</v>
      </c>
      <c r="D20" s="31" t="s">
        <v>98</v>
      </c>
      <c r="E20" s="6"/>
    </row>
    <row r="21" spans="1:26" ht="15.75">
      <c r="A21" s="5" t="s">
        <v>11</v>
      </c>
      <c r="B21" s="16" t="s">
        <v>85</v>
      </c>
      <c r="C21" s="14" t="s">
        <v>26</v>
      </c>
      <c r="D21" s="31" t="s">
        <v>99</v>
      </c>
      <c r="E21" s="6"/>
    </row>
    <row r="22" spans="1:26" ht="15.75">
      <c r="A22" s="5" t="s">
        <v>11</v>
      </c>
      <c r="B22" s="16" t="s">
        <v>88</v>
      </c>
      <c r="C22" s="14" t="s">
        <v>26</v>
      </c>
      <c r="D22" s="31" t="s">
        <v>100</v>
      </c>
      <c r="E22" s="6"/>
    </row>
    <row r="23" spans="1:26" ht="15.75">
      <c r="A23" s="5" t="s">
        <v>11</v>
      </c>
      <c r="B23" s="16" t="s">
        <v>91</v>
      </c>
      <c r="C23" s="14" t="s">
        <v>26</v>
      </c>
      <c r="D23" s="31" t="s">
        <v>101</v>
      </c>
      <c r="E23" s="6"/>
    </row>
    <row r="24" spans="1:26" ht="15.75">
      <c r="A24" s="5" t="s">
        <v>11</v>
      </c>
      <c r="B24" s="16" t="s">
        <v>94</v>
      </c>
      <c r="C24" s="14" t="s">
        <v>26</v>
      </c>
      <c r="D24" s="31" t="s">
        <v>102</v>
      </c>
      <c r="E24" s="6"/>
    </row>
    <row r="25" spans="1:26" ht="15.75">
      <c r="A25" s="5" t="s">
        <v>11</v>
      </c>
      <c r="B25" s="16" t="s">
        <v>96</v>
      </c>
      <c r="C25" s="14" t="s">
        <v>26</v>
      </c>
      <c r="D25" s="31" t="s">
        <v>103</v>
      </c>
      <c r="E25" s="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546D-8BD3-4D1A-B06E-732575824D90}">
  <dimension ref="A1:E7"/>
  <sheetViews>
    <sheetView workbookViewId="0">
      <selection activeCell="C5" sqref="C5:C7"/>
    </sheetView>
  </sheetViews>
  <sheetFormatPr defaultRowHeight="15"/>
  <cols>
    <col min="1" max="1" width="34.85546875" bestFit="1" customWidth="1"/>
    <col min="2" max="2" width="19.85546875" bestFit="1" customWidth="1"/>
    <col min="3" max="3" width="19.140625" customWidth="1"/>
    <col min="4" max="4" width="19.7109375" bestFit="1" customWidth="1"/>
    <col min="5" max="5" width="13.5703125" bestFit="1" customWidth="1"/>
  </cols>
  <sheetData>
    <row r="1" spans="1:5">
      <c r="A1" s="33" t="str">
        <f>HYPERLINK("#'List'!A9","NG_SB_CLOS_MAS_APPROV_LEVEL")</f>
        <v>NG_SB_CLOS_MAS_APPROV_LEVEL</v>
      </c>
    </row>
    <row r="3" spans="1:5" ht="16.5">
      <c r="A3" s="13" t="s">
        <v>18</v>
      </c>
      <c r="B3" s="13" t="s">
        <v>19</v>
      </c>
      <c r="C3" s="13" t="s">
        <v>20</v>
      </c>
      <c r="D3" s="13" t="s">
        <v>21</v>
      </c>
      <c r="E3" s="4" t="s">
        <v>22</v>
      </c>
    </row>
    <row r="4" spans="1:5">
      <c r="A4" s="3" t="s">
        <v>13</v>
      </c>
      <c r="B4" s="3" t="s">
        <v>39</v>
      </c>
      <c r="C4" s="3" t="s">
        <v>24</v>
      </c>
      <c r="D4" s="3" t="s">
        <v>60</v>
      </c>
      <c r="E4" s="6"/>
    </row>
    <row r="5" spans="1:5">
      <c r="A5" s="3" t="s">
        <v>13</v>
      </c>
      <c r="B5" s="3" t="s">
        <v>104</v>
      </c>
      <c r="C5" s="3" t="s">
        <v>26</v>
      </c>
      <c r="D5" s="3" t="s">
        <v>105</v>
      </c>
      <c r="E5" s="6" t="s">
        <v>106</v>
      </c>
    </row>
    <row r="6" spans="1:5">
      <c r="A6" s="3" t="s">
        <v>13</v>
      </c>
      <c r="B6" s="7" t="s">
        <v>107</v>
      </c>
      <c r="C6" s="7" t="s">
        <v>26</v>
      </c>
      <c r="D6" s="7" t="s">
        <v>108</v>
      </c>
      <c r="E6" s="6"/>
    </row>
    <row r="7" spans="1:5" ht="15.75">
      <c r="A7" s="3" t="s">
        <v>13</v>
      </c>
      <c r="B7" s="3" t="s">
        <v>109</v>
      </c>
      <c r="C7" s="3" t="s">
        <v>26</v>
      </c>
      <c r="D7" s="8" t="s">
        <v>110</v>
      </c>
      <c r="E7" s="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C6F7-B95B-46BC-94C3-1E6741DBB994}">
  <dimension ref="A1:E7"/>
  <sheetViews>
    <sheetView workbookViewId="0">
      <selection activeCell="E3" sqref="E3:E4"/>
    </sheetView>
  </sheetViews>
  <sheetFormatPr defaultRowHeight="15"/>
  <cols>
    <col min="1" max="1" width="30.42578125" bestFit="1" customWidth="1"/>
    <col min="2" max="2" width="15.7109375" bestFit="1" customWidth="1"/>
    <col min="3" max="3" width="16.42578125" customWidth="1"/>
    <col min="4" max="4" width="19.7109375" bestFit="1" customWidth="1"/>
    <col min="5" max="5" width="15" customWidth="1"/>
  </cols>
  <sheetData>
    <row r="1" spans="1:5">
      <c r="A1" s="33" t="str">
        <f>HYPERLINK("#'List'!A10","NG_SB_RLOS_DYN_APPROVAL")</f>
        <v>NG_SB_RLOS_DYN_APPROVAL</v>
      </c>
    </row>
    <row r="3" spans="1:5" ht="16.5">
      <c r="A3" s="13" t="s">
        <v>18</v>
      </c>
      <c r="B3" s="13" t="s">
        <v>19</v>
      </c>
      <c r="C3" s="13" t="s">
        <v>20</v>
      </c>
      <c r="D3" s="13" t="s">
        <v>21</v>
      </c>
      <c r="E3" s="4" t="s">
        <v>22</v>
      </c>
    </row>
    <row r="4" spans="1:5">
      <c r="A4" s="3" t="s">
        <v>14</v>
      </c>
      <c r="B4" s="3" t="s">
        <v>111</v>
      </c>
      <c r="C4" s="3" t="s">
        <v>26</v>
      </c>
      <c r="D4" s="3" t="s">
        <v>112</v>
      </c>
      <c r="E4" s="6"/>
    </row>
    <row r="5" spans="1:5">
      <c r="A5" s="3" t="s">
        <v>14</v>
      </c>
      <c r="B5" s="7" t="s">
        <v>113</v>
      </c>
      <c r="C5" s="7" t="s">
        <v>26</v>
      </c>
      <c r="D5" s="7" t="s">
        <v>105</v>
      </c>
      <c r="E5" s="26" t="s">
        <v>106</v>
      </c>
    </row>
    <row r="6" spans="1:5">
      <c r="A6" s="5" t="s">
        <v>14</v>
      </c>
      <c r="B6" s="3" t="s">
        <v>114</v>
      </c>
      <c r="C6" s="3" t="s">
        <v>26</v>
      </c>
      <c r="D6" s="5" t="s">
        <v>108</v>
      </c>
      <c r="E6" s="6"/>
    </row>
    <row r="7" spans="1:5">
      <c r="E7" s="3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0CEC-B9A0-488B-958E-DBAD4F3C42A3}">
  <dimension ref="A1:E11"/>
  <sheetViews>
    <sheetView workbookViewId="0">
      <selection activeCell="C5" sqref="C5"/>
    </sheetView>
  </sheetViews>
  <sheetFormatPr defaultRowHeight="15"/>
  <cols>
    <col min="1" max="1" width="28.42578125" bestFit="1" customWidth="1"/>
    <col min="2" max="2" width="29.140625" bestFit="1" customWidth="1"/>
    <col min="3" max="4" width="20.28515625" customWidth="1"/>
    <col min="5" max="5" width="12" customWidth="1"/>
  </cols>
  <sheetData>
    <row r="1" spans="1:5">
      <c r="A1" s="33" t="str">
        <f>HYPERLINK("#'List'!A11","NG_SB_RLOS_MAS_BRANCH")</f>
        <v>NG_SB_RLOS_MAS_BRANCH</v>
      </c>
    </row>
    <row r="3" spans="1:5" ht="16.5">
      <c r="A3" s="13" t="s">
        <v>18</v>
      </c>
      <c r="B3" s="13" t="s">
        <v>19</v>
      </c>
      <c r="C3" s="13" t="s">
        <v>20</v>
      </c>
      <c r="D3" s="13" t="s">
        <v>21</v>
      </c>
      <c r="E3" s="4" t="s">
        <v>22</v>
      </c>
    </row>
    <row r="4" spans="1:5" ht="15.75">
      <c r="A4" s="5" t="s">
        <v>15</v>
      </c>
      <c r="B4" s="8" t="s">
        <v>115</v>
      </c>
      <c r="C4" s="3" t="s">
        <v>26</v>
      </c>
      <c r="D4" s="8" t="s">
        <v>78</v>
      </c>
      <c r="E4" s="6"/>
    </row>
    <row r="5" spans="1:5" ht="15.75">
      <c r="A5" s="5" t="s">
        <v>15</v>
      </c>
      <c r="B5" s="8" t="s">
        <v>116</v>
      </c>
      <c r="C5" s="3" t="s">
        <v>26</v>
      </c>
      <c r="D5" s="8" t="s">
        <v>81</v>
      </c>
      <c r="E5" s="6"/>
    </row>
    <row r="6" spans="1:5" ht="15.75">
      <c r="A6" s="5" t="s">
        <v>15</v>
      </c>
      <c r="B6" s="8" t="s">
        <v>117</v>
      </c>
      <c r="C6" s="3" t="s">
        <v>26</v>
      </c>
      <c r="D6" s="8" t="s">
        <v>118</v>
      </c>
      <c r="E6" s="6"/>
    </row>
    <row r="7" spans="1:5" ht="15.75">
      <c r="A7" s="5" t="s">
        <v>15</v>
      </c>
      <c r="B7" s="8" t="s">
        <v>119</v>
      </c>
      <c r="C7" s="3" t="s">
        <v>26</v>
      </c>
      <c r="D7" s="8" t="s">
        <v>120</v>
      </c>
      <c r="E7" s="6"/>
    </row>
    <row r="8" spans="1:5" ht="15.75">
      <c r="A8" s="5" t="s">
        <v>15</v>
      </c>
      <c r="B8" s="8" t="s">
        <v>121</v>
      </c>
      <c r="C8" s="3" t="s">
        <v>26</v>
      </c>
      <c r="D8" s="8" t="s">
        <v>122</v>
      </c>
      <c r="E8" s="6"/>
    </row>
    <row r="9" spans="1:5" ht="15.75">
      <c r="A9" s="5" t="s">
        <v>15</v>
      </c>
      <c r="B9" s="8" t="s">
        <v>123</v>
      </c>
      <c r="C9" s="3" t="s">
        <v>26</v>
      </c>
      <c r="D9" s="8" t="s">
        <v>124</v>
      </c>
      <c r="E9" s="6"/>
    </row>
    <row r="10" spans="1:5" ht="15.75">
      <c r="A10" s="5" t="s">
        <v>15</v>
      </c>
      <c r="B10" s="8" t="s">
        <v>125</v>
      </c>
      <c r="C10" s="3" t="s">
        <v>26</v>
      </c>
      <c r="D10" s="8" t="s">
        <v>126</v>
      </c>
      <c r="E10" s="6"/>
    </row>
    <row r="11" spans="1:5" ht="15.75">
      <c r="A11" s="5" t="s">
        <v>15</v>
      </c>
      <c r="B11" s="8" t="s">
        <v>127</v>
      </c>
      <c r="C11" s="3" t="s">
        <v>30</v>
      </c>
      <c r="D11" s="8" t="s">
        <v>128</v>
      </c>
      <c r="E11" s="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7349-F267-40C0-AA8F-BF7B2F43D74E}">
  <dimension ref="A1:E13"/>
  <sheetViews>
    <sheetView workbookViewId="0">
      <selection activeCell="C9" sqref="C9"/>
    </sheetView>
  </sheetViews>
  <sheetFormatPr defaultRowHeight="15"/>
  <cols>
    <col min="1" max="1" width="30.42578125" bestFit="1" customWidth="1"/>
    <col min="2" max="2" width="29.140625" bestFit="1" customWidth="1"/>
    <col min="3" max="3" width="18.7109375" customWidth="1"/>
    <col min="4" max="4" width="24.42578125" customWidth="1"/>
  </cols>
  <sheetData>
    <row r="1" spans="1:5">
      <c r="A1" s="33" t="str">
        <f>HYPERLINK("#'List'!A12","NG_SB_RLOS_MAS_COMPANY")</f>
        <v>NG_SB_RLOS_MAS_COMPANY</v>
      </c>
    </row>
    <row r="3" spans="1:5" ht="16.5">
      <c r="A3" s="13" t="s">
        <v>18</v>
      </c>
      <c r="B3" s="13" t="s">
        <v>19</v>
      </c>
      <c r="C3" s="13" t="s">
        <v>20</v>
      </c>
      <c r="D3" s="13" t="s">
        <v>21</v>
      </c>
      <c r="E3" s="4" t="s">
        <v>22</v>
      </c>
    </row>
    <row r="4" spans="1:5" ht="15.75">
      <c r="A4" s="5" t="s">
        <v>16</v>
      </c>
      <c r="B4" s="8" t="s">
        <v>77</v>
      </c>
      <c r="C4" s="3" t="s">
        <v>26</v>
      </c>
      <c r="D4" s="8" t="s">
        <v>118</v>
      </c>
      <c r="E4" s="6"/>
    </row>
    <row r="5" spans="1:5" ht="15.75">
      <c r="A5" s="5" t="s">
        <v>16</v>
      </c>
      <c r="B5" s="8" t="s">
        <v>80</v>
      </c>
      <c r="C5" s="3" t="s">
        <v>26</v>
      </c>
      <c r="D5" s="8" t="s">
        <v>120</v>
      </c>
      <c r="E5" s="6"/>
    </row>
    <row r="6" spans="1:5" ht="15.75">
      <c r="A6" s="5" t="s">
        <v>16</v>
      </c>
      <c r="B6" s="8" t="s">
        <v>129</v>
      </c>
      <c r="C6" s="3" t="s">
        <v>26</v>
      </c>
      <c r="D6" s="8" t="s">
        <v>130</v>
      </c>
      <c r="E6" s="6"/>
    </row>
    <row r="7" spans="1:5" ht="15.75">
      <c r="A7" s="5" t="s">
        <v>16</v>
      </c>
      <c r="B7" s="8" t="s">
        <v>131</v>
      </c>
      <c r="C7" s="3" t="s">
        <v>30</v>
      </c>
      <c r="D7" s="8" t="s">
        <v>132</v>
      </c>
      <c r="E7" s="6"/>
    </row>
    <row r="8" spans="1:5" ht="15.75">
      <c r="A8" s="5" t="s">
        <v>16</v>
      </c>
      <c r="B8" s="8" t="s">
        <v>133</v>
      </c>
      <c r="C8" s="3" t="s">
        <v>30</v>
      </c>
      <c r="D8" s="8" t="s">
        <v>134</v>
      </c>
      <c r="E8" s="6"/>
    </row>
    <row r="9" spans="1:5" ht="15.75">
      <c r="A9" s="5" t="s">
        <v>16</v>
      </c>
      <c r="B9" s="8" t="s">
        <v>115</v>
      </c>
      <c r="C9" s="3" t="s">
        <v>26</v>
      </c>
      <c r="D9" s="8" t="s">
        <v>135</v>
      </c>
      <c r="E9" s="6"/>
    </row>
    <row r="10" spans="1:5" ht="15.75">
      <c r="A10" s="5" t="s">
        <v>16</v>
      </c>
      <c r="B10" s="8" t="s">
        <v>136</v>
      </c>
      <c r="C10" s="3" t="s">
        <v>24</v>
      </c>
      <c r="D10" s="8" t="s">
        <v>122</v>
      </c>
      <c r="E10" s="6"/>
    </row>
    <row r="11" spans="1:5" ht="15.75">
      <c r="A11" s="5" t="s">
        <v>16</v>
      </c>
      <c r="B11" s="19" t="s">
        <v>137</v>
      </c>
      <c r="C11" s="3" t="s">
        <v>24</v>
      </c>
      <c r="D11" s="19"/>
      <c r="E11" s="6"/>
    </row>
    <row r="12" spans="1:5" ht="15.75">
      <c r="A12" s="5" t="s">
        <v>16</v>
      </c>
      <c r="B12" s="8" t="s">
        <v>138</v>
      </c>
      <c r="C12" s="3" t="s">
        <v>26</v>
      </c>
      <c r="D12" s="6"/>
      <c r="E12" s="6"/>
    </row>
    <row r="13" spans="1:5" ht="15.75">
      <c r="A13" s="5" t="s">
        <v>16</v>
      </c>
      <c r="B13" s="8" t="s">
        <v>139</v>
      </c>
      <c r="C13" s="3" t="s">
        <v>26</v>
      </c>
      <c r="D13" s="6" t="s">
        <v>140</v>
      </c>
      <c r="E13" s="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393E-8995-402C-94FD-1A59C76D7A11}">
  <dimension ref="A1:E10"/>
  <sheetViews>
    <sheetView tabSelected="1" workbookViewId="0">
      <selection activeCell="F11" sqref="F11"/>
    </sheetView>
  </sheetViews>
  <sheetFormatPr defaultRowHeight="15"/>
  <cols>
    <col min="1" max="1" width="30.42578125" bestFit="1" customWidth="1"/>
    <col min="2" max="2" width="27.28515625" bestFit="1" customWidth="1"/>
    <col min="3" max="3" width="22.5703125" customWidth="1"/>
    <col min="4" max="4" width="23.85546875" customWidth="1"/>
  </cols>
  <sheetData>
    <row r="1" spans="1:5">
      <c r="A1" s="33" t="str">
        <f>HYPERLINK("#'List'!A13","NG_SB_RLOS_MAS_REGION")</f>
        <v>NG_SB_RLOS_MAS_REGION</v>
      </c>
    </row>
    <row r="3" spans="1:5" ht="16.5">
      <c r="A3" s="13" t="s">
        <v>18</v>
      </c>
      <c r="B3" s="13" t="s">
        <v>19</v>
      </c>
      <c r="C3" s="13" t="s">
        <v>20</v>
      </c>
      <c r="D3" s="13" t="s">
        <v>21</v>
      </c>
      <c r="E3" s="4" t="s">
        <v>22</v>
      </c>
    </row>
    <row r="4" spans="1:5" ht="15.75">
      <c r="A4" s="5" t="s">
        <v>17</v>
      </c>
      <c r="B4" s="8" t="s">
        <v>141</v>
      </c>
      <c r="C4" s="8" t="s">
        <v>24</v>
      </c>
      <c r="D4" s="8" t="s">
        <v>122</v>
      </c>
      <c r="E4" s="6"/>
    </row>
    <row r="5" spans="1:5" ht="15.75">
      <c r="A5" s="5" t="s">
        <v>17</v>
      </c>
      <c r="B5" s="8" t="s">
        <v>142</v>
      </c>
      <c r="C5" s="3" t="s">
        <v>26</v>
      </c>
      <c r="D5" s="8" t="s">
        <v>143</v>
      </c>
      <c r="E5" s="6"/>
    </row>
    <row r="6" spans="1:5" ht="15.75">
      <c r="A6" s="5" t="s">
        <v>17</v>
      </c>
      <c r="B6" s="8" t="s">
        <v>144</v>
      </c>
      <c r="C6" s="3" t="s">
        <v>26</v>
      </c>
      <c r="D6" s="8" t="s">
        <v>145</v>
      </c>
      <c r="E6" s="26"/>
    </row>
    <row r="7" spans="1:5" ht="15.75">
      <c r="A7" s="5" t="s">
        <v>17</v>
      </c>
      <c r="B7" s="8" t="s">
        <v>146</v>
      </c>
      <c r="C7" s="3" t="s">
        <v>30</v>
      </c>
      <c r="D7" s="8" t="s">
        <v>147</v>
      </c>
      <c r="E7" s="6"/>
    </row>
    <row r="8" spans="1:5">
      <c r="E8" s="32"/>
    </row>
    <row r="9" spans="1:5">
      <c r="E9" s="32"/>
    </row>
    <row r="10" spans="1:5">
      <c r="E10" s="3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Hoang</dc:creator>
  <cp:keywords/>
  <dc:description/>
  <cp:lastModifiedBy/>
  <cp:revision/>
  <dcterms:created xsi:type="dcterms:W3CDTF">2026-09-16T07:28:08Z</dcterms:created>
  <dcterms:modified xsi:type="dcterms:W3CDTF">2026-09-18T08:33:25Z</dcterms:modified>
  <cp:category/>
  <cp:contentStatus/>
</cp:coreProperties>
</file>